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shan/Desktop/"/>
    </mc:Choice>
  </mc:AlternateContent>
  <xr:revisionPtr revIDLastSave="0" documentId="13_ncr:1_{39784EEF-44B1-604F-9066-2F97B67AFFF4}" xr6:coauthVersionLast="47" xr6:coauthVersionMax="47" xr10:uidLastSave="{00000000-0000-0000-0000-000000000000}"/>
  <bookViews>
    <workbookView xWindow="300" yWindow="680" windowWidth="28880" windowHeight="16420" activeTab="2" xr2:uid="{C0202A1B-AECC-CD46-AFE6-BD3971C65FE9}"/>
  </bookViews>
  <sheets>
    <sheet name="Raw data" sheetId="6" r:id="rId1"/>
    <sheet name="CLEAN DATA " sheetId="7" r:id="rId2"/>
    <sheet name="DASHBOARD" sheetId="18" r:id="rId3"/>
    <sheet name="PIVOT TABLES" sheetId="8" r:id="rId4"/>
  </sheets>
  <calcPr calcId="191029"/>
  <pivotCaches>
    <pivotCache cacheId="4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K66" i="7" s="1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</calcChain>
</file>

<file path=xl/sharedStrings.xml><?xml version="1.0" encoding="utf-8"?>
<sst xmlns="http://schemas.openxmlformats.org/spreadsheetml/2006/main" count="4066" uniqueCount="544">
  <si>
    <t>Department</t>
  </si>
  <si>
    <t>Finance</t>
  </si>
  <si>
    <t>HR</t>
  </si>
  <si>
    <t>IT</t>
  </si>
  <si>
    <t>Marketing</t>
  </si>
  <si>
    <t>Quantity</t>
  </si>
  <si>
    <t>Row Labels</t>
  </si>
  <si>
    <t>Grand Total</t>
  </si>
  <si>
    <t>Transaction_ID</t>
  </si>
  <si>
    <t>Date</t>
  </si>
  <si>
    <t>Product</t>
  </si>
  <si>
    <t>Unit_Price</t>
  </si>
  <si>
    <t>Expense</t>
  </si>
  <si>
    <t>Payment_Mode</t>
  </si>
  <si>
    <t>TXN-1087</t>
  </si>
  <si>
    <t>Sales</t>
  </si>
  <si>
    <t>Laptop</t>
  </si>
  <si>
    <t>Bank Transfer</t>
  </si>
  <si>
    <t>TXN-1278</t>
  </si>
  <si>
    <t>Cash</t>
  </si>
  <si>
    <t>TXN-1360</t>
  </si>
  <si>
    <t>TXN-1450</t>
  </si>
  <si>
    <t>Phone</t>
  </si>
  <si>
    <t>TXN-1176</t>
  </si>
  <si>
    <t>Service</t>
  </si>
  <si>
    <t>TXN-1461</t>
  </si>
  <si>
    <t>Operations</t>
  </si>
  <si>
    <t>Tablet</t>
  </si>
  <si>
    <t>TXN-1132</t>
  </si>
  <si>
    <t>TXN-1368</t>
  </si>
  <si>
    <t>Credit Card</t>
  </si>
  <si>
    <t>TXN-1206</t>
  </si>
  <si>
    <t>Software</t>
  </si>
  <si>
    <t>TXN-1066</t>
  </si>
  <si>
    <t>TXN-1127</t>
  </si>
  <si>
    <t>TXN-1184</t>
  </si>
  <si>
    <t>UPI</t>
  </si>
  <si>
    <t>TXN-1454</t>
  </si>
  <si>
    <t>TXN-1485</t>
  </si>
  <si>
    <t>TXN-1007</t>
  </si>
  <si>
    <t>TXN-1059</t>
  </si>
  <si>
    <t>TXN-1034</t>
  </si>
  <si>
    <t>TXN-1427</t>
  </si>
  <si>
    <t>TXN-1437</t>
  </si>
  <si>
    <t>TXN-1151</t>
  </si>
  <si>
    <t>TXN-1220</t>
  </si>
  <si>
    <t>TXN-1204</t>
  </si>
  <si>
    <t>TXN-1157</t>
  </si>
  <si>
    <t>TXN-1420</t>
  </si>
  <si>
    <t>TXN-1080</t>
  </si>
  <si>
    <t>TXN-1168</t>
  </si>
  <si>
    <t>TXN-1451</t>
  </si>
  <si>
    <t>TXN-1205</t>
  </si>
  <si>
    <t>TXN-1366</t>
  </si>
  <si>
    <t>TXN-1465</t>
  </si>
  <si>
    <t>TXN-1430</t>
  </si>
  <si>
    <t>TXN-1338</t>
  </si>
  <si>
    <t>TXN-1125</t>
  </si>
  <si>
    <t>TXN-1150</t>
  </si>
  <si>
    <t>TXN-1186</t>
  </si>
  <si>
    <t>TXN-1097</t>
  </si>
  <si>
    <t>TXN-1222</t>
  </si>
  <si>
    <t>TXN-1215</t>
  </si>
  <si>
    <t>TXN-1459</t>
  </si>
  <si>
    <t>TXN-1158</t>
  </si>
  <si>
    <t>TXN-1038</t>
  </si>
  <si>
    <t>TXN-1453</t>
  </si>
  <si>
    <t>TXN-1084</t>
  </si>
  <si>
    <t>TXN-1050</t>
  </si>
  <si>
    <t>TXN-1433</t>
  </si>
  <si>
    <t>TXN-1194</t>
  </si>
  <si>
    <t>TXN-1266</t>
  </si>
  <si>
    <t>TXN-1070</t>
  </si>
  <si>
    <t>TXN-1117</t>
  </si>
  <si>
    <t>TXN-1290</t>
  </si>
  <si>
    <t>TXN-1089</t>
  </si>
  <si>
    <t>TXN-1281</t>
  </si>
  <si>
    <t>TXN-1377</t>
  </si>
  <si>
    <t>TXN-1489</t>
  </si>
  <si>
    <t>TXN-1052</t>
  </si>
  <si>
    <t>TXN-1490</t>
  </si>
  <si>
    <t>TXN-1040</t>
  </si>
  <si>
    <t>TXN-1358</t>
  </si>
  <si>
    <t>TXN-1160</t>
  </si>
  <si>
    <t>TXN-1216</t>
  </si>
  <si>
    <t>TXN-1138</t>
  </si>
  <si>
    <t>TXN-1190</t>
  </si>
  <si>
    <t>TXN-1129</t>
  </si>
  <si>
    <t>TXN-1213</t>
  </si>
  <si>
    <t>TXN-1408</t>
  </si>
  <si>
    <t>TXN-1005</t>
  </si>
  <si>
    <t>TXN-1382</t>
  </si>
  <si>
    <t>TXN-1082</t>
  </si>
  <si>
    <t>TXN-1141</t>
  </si>
  <si>
    <t>TXN-1275</t>
  </si>
  <si>
    <t>TXN-1211</t>
  </si>
  <si>
    <t>TXN-1014</t>
  </si>
  <si>
    <t>TXN-1064</t>
  </si>
  <si>
    <t>TXN-1073</t>
  </si>
  <si>
    <t>TXN-1471</t>
  </si>
  <si>
    <t>TXN-1195</t>
  </si>
  <si>
    <t>TXN-1258</t>
  </si>
  <si>
    <t>TXN-1314</t>
  </si>
  <si>
    <t>TXN-1441</t>
  </si>
  <si>
    <t>TXN-1308</t>
  </si>
  <si>
    <t>TXN-1163</t>
  </si>
  <si>
    <t>TXN-1351</t>
  </si>
  <si>
    <t>TXN-1370</t>
  </si>
  <si>
    <t>TXN-1393</t>
  </si>
  <si>
    <t>TXN-1462</t>
  </si>
  <si>
    <t>TXN-1472</t>
  </si>
  <si>
    <t>TXN-1016</t>
  </si>
  <si>
    <t>TXN-1171</t>
  </si>
  <si>
    <t>TXN-1272</t>
  </si>
  <si>
    <t>TXN-1000</t>
  </si>
  <si>
    <t>TXN-1008</t>
  </si>
  <si>
    <t>TXN-1387</t>
  </si>
  <si>
    <t>TXN-1090</t>
  </si>
  <si>
    <t>TXN-1004</t>
  </si>
  <si>
    <t>TXN-1221</t>
  </si>
  <si>
    <t>TXN-1356</t>
  </si>
  <si>
    <t>TXN-1391</t>
  </si>
  <si>
    <t>TXN-1262</t>
  </si>
  <si>
    <t>TXN-1271</t>
  </si>
  <si>
    <t>TXN-1273</t>
  </si>
  <si>
    <t>TXN-1277</t>
  </si>
  <si>
    <t>TXN-1383</t>
  </si>
  <si>
    <t>TXN-1495</t>
  </si>
  <si>
    <t>TXN-1238</t>
  </si>
  <si>
    <t>TXN-1381</t>
  </si>
  <si>
    <t>TXN-1475</t>
  </si>
  <si>
    <t>TXN-1378</t>
  </si>
  <si>
    <t>TXN-1237</t>
  </si>
  <si>
    <t>TXN-1009</t>
  </si>
  <si>
    <t>TXN-1301</t>
  </si>
  <si>
    <t>TXN-1316</t>
  </si>
  <si>
    <t>TXN-1288</t>
  </si>
  <si>
    <t>TXN-1227</t>
  </si>
  <si>
    <t>TXN-1337</t>
  </si>
  <si>
    <t>TXN-1419</t>
  </si>
  <si>
    <t>TXN-1484</t>
  </si>
  <si>
    <t>TXN-1134</t>
  </si>
  <si>
    <t>TXN-1341</t>
  </si>
  <si>
    <t>TXN-1279</t>
  </si>
  <si>
    <t>TXN-1289</t>
  </si>
  <si>
    <t>TXN-1019</t>
  </si>
  <si>
    <t>TXN-1055</t>
  </si>
  <si>
    <t>TXN-1174</t>
  </si>
  <si>
    <t>TXN-1374</t>
  </si>
  <si>
    <t>TXN-1218</t>
  </si>
  <si>
    <t>TXN-1058</t>
  </si>
  <si>
    <t>TXN-1152</t>
  </si>
  <si>
    <t>TXN-1416</t>
  </si>
  <si>
    <t>TXN-1136</t>
  </si>
  <si>
    <t>TXN-1246</t>
  </si>
  <si>
    <t>TXN-1139</t>
  </si>
  <si>
    <t>TXN-1364</t>
  </si>
  <si>
    <t>TXN-1202</t>
  </si>
  <si>
    <t>TXN-1313</t>
  </si>
  <si>
    <t>TXN-1354</t>
  </si>
  <si>
    <t>TXN-1329</t>
  </si>
  <si>
    <t>TXN-1371</t>
  </si>
  <si>
    <t>TXN-1449</t>
  </si>
  <si>
    <t>TXN-1322</t>
  </si>
  <si>
    <t>TXN-1330</t>
  </si>
  <si>
    <t>TXN-1020</t>
  </si>
  <si>
    <t>TXN-1347</t>
  </si>
  <si>
    <t>TXN-1499</t>
  </si>
  <si>
    <t>TXN-1018</t>
  </si>
  <si>
    <t>TXN-1253</t>
  </si>
  <si>
    <t>TXN-1376</t>
  </si>
  <si>
    <t>TXN-1394</t>
  </si>
  <si>
    <t>TXN-1126</t>
  </si>
  <si>
    <t>TXN-1429</t>
  </si>
  <si>
    <t>TXN-1457</t>
  </si>
  <si>
    <t>TXN-1207</t>
  </si>
  <si>
    <t>TXN-1257</t>
  </si>
  <si>
    <t>TXN-1293</t>
  </si>
  <si>
    <t>TXN-1367</t>
  </si>
  <si>
    <t>TXN-1031</t>
  </si>
  <si>
    <t>TXN-1379</t>
  </si>
  <si>
    <t>TXN-1407</t>
  </si>
  <si>
    <t>TXN-1481</t>
  </si>
  <si>
    <t>TXN-1098</t>
  </si>
  <si>
    <t>TXN-1143</t>
  </si>
  <si>
    <t>TXN-1402</t>
  </si>
  <si>
    <t>TXN-1248</t>
  </si>
  <si>
    <t>TXN-1061</t>
  </si>
  <si>
    <t>TXN-1405</t>
  </si>
  <si>
    <t>TXN-1041</t>
  </si>
  <si>
    <t>TXN-1214</t>
  </si>
  <si>
    <t>TXN-1203</t>
  </si>
  <si>
    <t>TXN-1164</t>
  </si>
  <si>
    <t>TXN-1252</t>
  </si>
  <si>
    <t>TXN-1291</t>
  </si>
  <si>
    <t>TXN-1455</t>
  </si>
  <si>
    <t>TXN-1493</t>
  </si>
  <si>
    <t>TXN-1048</t>
  </si>
  <si>
    <t>TXN-1421</t>
  </si>
  <si>
    <t>TXN-1189</t>
  </si>
  <si>
    <t>TXN-1261</t>
  </si>
  <si>
    <t>TXN-1470</t>
  </si>
  <si>
    <t>TXN-1300</t>
  </si>
  <si>
    <t>TXN-1209</t>
  </si>
  <si>
    <t>TXN-1276</t>
  </si>
  <si>
    <t>TXN-1317</t>
  </si>
  <si>
    <t>TXN-1043</t>
  </si>
  <si>
    <t>TXN-1122</t>
  </si>
  <si>
    <t>TXN-1473</t>
  </si>
  <si>
    <t>TXN-1006</t>
  </si>
  <si>
    <t>TXN-1046</t>
  </si>
  <si>
    <t>TXN-1110</t>
  </si>
  <si>
    <t>TXN-1231</t>
  </si>
  <si>
    <t>TXN-1094</t>
  </si>
  <si>
    <t>TXN-1476</t>
  </si>
  <si>
    <t>TXN-1028</t>
  </si>
  <si>
    <t>TXN-1452</t>
  </si>
  <si>
    <t>TXN-1400</t>
  </si>
  <si>
    <t>TXN-1417</t>
  </si>
  <si>
    <t>TXN-1243</t>
  </si>
  <si>
    <t>TXN-1294</t>
  </si>
  <si>
    <t>TXN-1309</t>
  </si>
  <si>
    <t>TXN-1332</t>
  </si>
  <si>
    <t>TXN-1153</t>
  </si>
  <si>
    <t>TXN-1315</t>
  </si>
  <si>
    <t>TXN-1099</t>
  </si>
  <si>
    <t>TXN-1299</t>
  </si>
  <si>
    <t>TXN-1081</t>
  </si>
  <si>
    <t>TXN-1183</t>
  </si>
  <si>
    <t>TXN-1113</t>
  </si>
  <si>
    <t>TXN-1373</t>
  </si>
  <si>
    <t>TXN-1403</t>
  </si>
  <si>
    <t>TXN-1112</t>
  </si>
  <si>
    <t>TXN-1166</t>
  </si>
  <si>
    <t>TXN-1011</t>
  </si>
  <si>
    <t>TXN-1108</t>
  </si>
  <si>
    <t>TXN-1161</t>
  </si>
  <si>
    <t>TXN-1120</t>
  </si>
  <si>
    <t>TXN-1096</t>
  </si>
  <si>
    <t>TXN-1177</t>
  </si>
  <si>
    <t>TXN-1292</t>
  </si>
  <si>
    <t>TXN-1280</t>
  </si>
  <si>
    <t>TXN-1456</t>
  </si>
  <si>
    <t>TXN-1197</t>
  </si>
  <si>
    <t>TXN-1488</t>
  </si>
  <si>
    <t>TXN-1284</t>
  </si>
  <si>
    <t>TXN-1232</t>
  </si>
  <si>
    <t>TXN-1249</t>
  </si>
  <si>
    <t>TXN-1285</t>
  </si>
  <si>
    <t>TXN-1438</t>
  </si>
  <si>
    <t>TXN-1170</t>
  </si>
  <si>
    <t>TXN-1390</t>
  </si>
  <si>
    <t>TXN-1431</t>
  </si>
  <si>
    <t>TXN-1149</t>
  </si>
  <si>
    <t>TXN-1192</t>
  </si>
  <si>
    <t>TXN-1200</t>
  </si>
  <si>
    <t>TXN-1230</t>
  </si>
  <si>
    <t>TXN-1240</t>
  </si>
  <si>
    <t>TXN-1260</t>
  </si>
  <si>
    <t>TXN-1369</t>
  </si>
  <si>
    <t>TXN-1464</t>
  </si>
  <si>
    <t>TXN-1251</t>
  </si>
  <si>
    <t>TXN-1036</t>
  </si>
  <si>
    <t>TXN-1114</t>
  </si>
  <si>
    <t>TXN-1201</t>
  </si>
  <si>
    <t>TXN-1428</t>
  </si>
  <si>
    <t>TXN-1312</t>
  </si>
  <si>
    <t>TXN-1193</t>
  </si>
  <si>
    <t>TXN-1067</t>
  </si>
  <si>
    <t>TXN-1210</t>
  </si>
  <si>
    <t>TXN-1053</t>
  </si>
  <si>
    <t>TXN-1296</t>
  </si>
  <si>
    <t>TXN-1109</t>
  </si>
  <si>
    <t>TXN-1121</t>
  </si>
  <si>
    <t>TXN-1323</t>
  </si>
  <si>
    <t>TXN-1353</t>
  </si>
  <si>
    <t>TXN-1035</t>
  </si>
  <si>
    <t>TXN-1477</t>
  </si>
  <si>
    <t>TXN-1363</t>
  </si>
  <si>
    <t>TXN-1389</t>
  </si>
  <si>
    <t>TXN-1178</t>
  </si>
  <si>
    <t>TXN-1303</t>
  </si>
  <si>
    <t>TXN-1482</t>
  </si>
  <si>
    <t>TXN-1175</t>
  </si>
  <si>
    <t>TXN-1022</t>
  </si>
  <si>
    <t>TXN-1241</t>
  </si>
  <si>
    <t>TXN-1321</t>
  </si>
  <si>
    <t>TXN-1091</t>
  </si>
  <si>
    <t>TXN-1147</t>
  </si>
  <si>
    <t>TXN-1352</t>
  </si>
  <si>
    <t>TXN-1078</t>
  </si>
  <si>
    <t>TXN-1435</t>
  </si>
  <si>
    <t>TXN-1068</t>
  </si>
  <si>
    <t>TXN-1342</t>
  </si>
  <si>
    <t>TXN-1155</t>
  </si>
  <si>
    <t>TXN-1267</t>
  </si>
  <si>
    <t>TXN-1102</t>
  </si>
  <si>
    <t>TXN-1003</t>
  </si>
  <si>
    <t>TXN-1045</t>
  </si>
  <si>
    <t>TXN-1105</t>
  </si>
  <si>
    <t>TXN-1062</t>
  </si>
  <si>
    <t>TXN-1030</t>
  </si>
  <si>
    <t>TXN-1411</t>
  </si>
  <si>
    <t>TXN-1439</t>
  </si>
  <si>
    <t>TXN-1118</t>
  </si>
  <si>
    <t>TXN-1305</t>
  </si>
  <si>
    <t>TXN-1466</t>
  </si>
  <si>
    <t>TXN-1494</t>
  </si>
  <si>
    <t>TXN-1486</t>
  </si>
  <si>
    <t>TXN-1181</t>
  </si>
  <si>
    <t>TXN-1235</t>
  </si>
  <si>
    <t>TXN-1436</t>
  </si>
  <si>
    <t>TXN-1212</t>
  </si>
  <si>
    <t>TXN-1219</t>
  </si>
  <si>
    <t>TXN-1442</t>
  </si>
  <si>
    <t>TXN-1224</t>
  </si>
  <si>
    <t>TXN-1440</t>
  </si>
  <si>
    <t>TXN-1496</t>
  </si>
  <si>
    <t>TXN-1145</t>
  </si>
  <si>
    <t>TXN-1409</t>
  </si>
  <si>
    <t>TXN-1162</t>
  </si>
  <si>
    <t>TXN-1026</t>
  </si>
  <si>
    <t>TXN-1304</t>
  </si>
  <si>
    <t>TXN-1268</t>
  </si>
  <si>
    <t>TXN-1111</t>
  </si>
  <si>
    <t>TXN-1350</t>
  </si>
  <si>
    <t>TXN-1128</t>
  </si>
  <si>
    <t>TXN-1469</t>
  </si>
  <si>
    <t>TXN-1104</t>
  </si>
  <si>
    <t>TXN-1362</t>
  </si>
  <si>
    <t>TXN-1372</t>
  </si>
  <si>
    <t>TXN-1412</t>
  </si>
  <si>
    <t>TXN-1448</t>
  </si>
  <si>
    <t>TXN-1057</t>
  </si>
  <si>
    <t>TXN-1250</t>
  </si>
  <si>
    <t>TXN-1333</t>
  </si>
  <si>
    <t>TXN-1021</t>
  </si>
  <si>
    <t>TXN-1092</t>
  </si>
  <si>
    <t>TXN-1401</t>
  </si>
  <si>
    <t>TXN-1033</t>
  </si>
  <si>
    <t>TXN-1255</t>
  </si>
  <si>
    <t>TXN-1065</t>
  </si>
  <si>
    <t>TXN-1447</t>
  </si>
  <si>
    <t>TXN-1247</t>
  </si>
  <si>
    <t>TXN-1263</t>
  </si>
  <si>
    <t>TXN-1054</t>
  </si>
  <si>
    <t>TXN-1483</t>
  </si>
  <si>
    <t>TXN-1491</t>
  </si>
  <si>
    <t>TXN-1297</t>
  </si>
  <si>
    <t>TXN-1306</t>
  </si>
  <si>
    <t>TXN-1318</t>
  </si>
  <si>
    <t>TXN-1131</t>
  </si>
  <si>
    <t>TXN-1208</t>
  </si>
  <si>
    <t>TXN-1154</t>
  </si>
  <si>
    <t>TXN-1060</t>
  </si>
  <si>
    <t>TXN-1012</t>
  </si>
  <si>
    <t>TXN-1226</t>
  </si>
  <si>
    <t>TXN-1115</t>
  </si>
  <si>
    <t>TXN-1339</t>
  </si>
  <si>
    <t>TXN-1399</t>
  </si>
  <si>
    <t>TXN-1072</t>
  </si>
  <si>
    <t>TXN-1223</t>
  </si>
  <si>
    <t>TXN-1388</t>
  </si>
  <si>
    <t>TXN-1498</t>
  </si>
  <si>
    <t>TXN-1282</t>
  </si>
  <si>
    <t>TXN-1023</t>
  </si>
  <si>
    <t>TXN-1133</t>
  </si>
  <si>
    <t>TXN-1037</t>
  </si>
  <si>
    <t>TXN-1130</t>
  </si>
  <si>
    <t>TXN-1069</t>
  </si>
  <si>
    <t>TXN-1185</t>
  </si>
  <si>
    <t>TXN-1327</t>
  </si>
  <si>
    <t>TXN-1355</t>
  </si>
  <si>
    <t>TXN-1228</t>
  </si>
  <si>
    <t>TXN-1002</t>
  </si>
  <si>
    <t>TXN-1320</t>
  </si>
  <si>
    <t>TXN-1395</t>
  </si>
  <si>
    <t>TXN-1467</t>
  </si>
  <si>
    <t>TXN-1103</t>
  </si>
  <si>
    <t>TXN-1191</t>
  </si>
  <si>
    <t>TXN-1331</t>
  </si>
  <si>
    <t>TXN-1180</t>
  </si>
  <si>
    <t>TXN-1242</t>
  </si>
  <si>
    <t>TXN-1017</t>
  </si>
  <si>
    <t>TXN-1085</t>
  </si>
  <si>
    <t>TXN-1165</t>
  </si>
  <si>
    <t>TXN-1340</t>
  </si>
  <si>
    <t>TXN-1492</t>
  </si>
  <si>
    <t>TXN-1051</t>
  </si>
  <si>
    <t>TXN-1432</t>
  </si>
  <si>
    <t>TXN-1398</t>
  </si>
  <si>
    <t>TXN-1074</t>
  </si>
  <si>
    <t>TXN-1116</t>
  </si>
  <si>
    <t>TXN-1443</t>
  </si>
  <si>
    <t>TXN-1359</t>
  </si>
  <si>
    <t>TXN-1424</t>
  </si>
  <si>
    <t>TXN-1307</t>
  </si>
  <si>
    <t>TXN-1015</t>
  </si>
  <si>
    <t>TXN-1460</t>
  </si>
  <si>
    <t>TXN-1256</t>
  </si>
  <si>
    <t>TXN-1426</t>
  </si>
  <si>
    <t>TXN-1234</t>
  </si>
  <si>
    <t>TXN-1146</t>
  </si>
  <si>
    <t>TXN-1123</t>
  </si>
  <si>
    <t>TXN-1187</t>
  </si>
  <si>
    <t>TXN-1463</t>
  </si>
  <si>
    <t>TXN-1397</t>
  </si>
  <si>
    <t>TXN-1414</t>
  </si>
  <si>
    <t>TXN-1233</t>
  </si>
  <si>
    <t>TXN-1286</t>
  </si>
  <si>
    <t>TXN-1361</t>
  </si>
  <si>
    <t>TXN-1027</t>
  </si>
  <si>
    <t>TXN-1071</t>
  </si>
  <si>
    <t>TXN-1269</t>
  </si>
  <si>
    <t>TXN-1270</t>
  </si>
  <si>
    <t>TXN-1063</t>
  </si>
  <si>
    <t>TXN-1086</t>
  </si>
  <si>
    <t>TXN-1196</t>
  </si>
  <si>
    <t>TXN-1088</t>
  </si>
  <si>
    <t>TXN-1142</t>
  </si>
  <si>
    <t>TXN-1415</t>
  </si>
  <si>
    <t>TXN-1182</t>
  </si>
  <si>
    <t>TXN-1311</t>
  </si>
  <si>
    <t>TXN-1179</t>
  </si>
  <si>
    <t>TXN-1410</t>
  </si>
  <si>
    <t>TXN-1302</t>
  </si>
  <si>
    <t>TXN-1418</t>
  </si>
  <si>
    <t>TXN-1095</t>
  </si>
  <si>
    <t>TXN-1396</t>
  </si>
  <si>
    <t>TXN-1287</t>
  </si>
  <si>
    <t>TXN-1326</t>
  </si>
  <si>
    <t>TXN-1375</t>
  </si>
  <si>
    <t>TXN-1413</t>
  </si>
  <si>
    <t>TXN-1159</t>
  </si>
  <si>
    <t>TXN-1199</t>
  </si>
  <si>
    <t>TXN-1380</t>
  </si>
  <si>
    <t>TXN-1119</t>
  </si>
  <si>
    <t>TXN-1245</t>
  </si>
  <si>
    <t>TXN-1025</t>
  </si>
  <si>
    <t>TXN-1348</t>
  </si>
  <si>
    <t>TXN-1295</t>
  </si>
  <si>
    <t>TXN-1479</t>
  </si>
  <si>
    <t>TXN-1335</t>
  </si>
  <si>
    <t>TXN-1156</t>
  </si>
  <si>
    <t>TXN-1144</t>
  </si>
  <si>
    <t>TXN-1083</t>
  </si>
  <si>
    <t>TXN-1325</t>
  </si>
  <si>
    <t>TXN-1385</t>
  </si>
  <si>
    <t>TXN-1386</t>
  </si>
  <si>
    <t>TXN-1336</t>
  </si>
  <si>
    <t>TXN-1077</t>
  </si>
  <si>
    <t>TXN-1079</t>
  </si>
  <si>
    <t>TXN-1172</t>
  </si>
  <si>
    <t>TXN-1497</t>
  </si>
  <si>
    <t>TXN-1346</t>
  </si>
  <si>
    <t>TXN-1001</t>
  </si>
  <si>
    <t>TXN-1434</t>
  </si>
  <si>
    <t>TXN-1298</t>
  </si>
  <si>
    <t>TXN-1274</t>
  </si>
  <si>
    <t>TXN-1217</t>
  </si>
  <si>
    <t>TXN-1344</t>
  </si>
  <si>
    <t>TXN-1265</t>
  </si>
  <si>
    <t>TXN-1324</t>
  </si>
  <si>
    <t>TXN-1423</t>
  </si>
  <si>
    <t>TXN-1029</t>
  </si>
  <si>
    <t>TXN-1075</t>
  </si>
  <si>
    <t>TXN-1404</t>
  </si>
  <si>
    <t>TXN-1047</t>
  </si>
  <si>
    <t>TXN-1049</t>
  </si>
  <si>
    <t>TXN-1100</t>
  </si>
  <si>
    <t>TXN-1225</t>
  </si>
  <si>
    <t>TXN-1236</t>
  </si>
  <si>
    <t>TXN-1444</t>
  </si>
  <si>
    <t>TXN-1169</t>
  </si>
  <si>
    <t>TXN-1328</t>
  </si>
  <si>
    <t>TXN-1365</t>
  </si>
  <si>
    <t>TXN-1446</t>
  </si>
  <si>
    <t>TXN-1076</t>
  </si>
  <si>
    <t>TXN-1106</t>
  </si>
  <si>
    <t>TXN-1244</t>
  </si>
  <si>
    <t>TXN-1384</t>
  </si>
  <si>
    <t>TXN-1013</t>
  </si>
  <si>
    <t>TXN-1032</t>
  </si>
  <si>
    <t>TXN-1422</t>
  </si>
  <si>
    <t>TXN-1188</t>
  </si>
  <si>
    <t>TXN-1239</t>
  </si>
  <si>
    <t>TXN-1107</t>
  </si>
  <si>
    <t>TXN-1173</t>
  </si>
  <si>
    <t>TXN-1254</t>
  </si>
  <si>
    <t>TXN-1044</t>
  </si>
  <si>
    <t>TXN-1319</t>
  </si>
  <si>
    <t>TXN-1010</t>
  </si>
  <si>
    <t>TXN-1478</t>
  </si>
  <si>
    <t>TXN-1310</t>
  </si>
  <si>
    <t>TXN-1425</t>
  </si>
  <si>
    <t>TXN-1480</t>
  </si>
  <si>
    <t>TXN-1137</t>
  </si>
  <si>
    <t>TXN-1259</t>
  </si>
  <si>
    <t>TXN-1229</t>
  </si>
  <si>
    <t>TXN-1345</t>
  </si>
  <si>
    <t>TXN-1392</t>
  </si>
  <si>
    <t>TXN-1039</t>
  </si>
  <si>
    <t>TXN-1167</t>
  </si>
  <si>
    <t>TXN-1042</t>
  </si>
  <si>
    <t>TXN-1343</t>
  </si>
  <si>
    <t>TXN-1093</t>
  </si>
  <si>
    <t>TXN-1458</t>
  </si>
  <si>
    <t>TXN-1349</t>
  </si>
  <si>
    <t>TXN-1445</t>
  </si>
  <si>
    <t>TXN-1474</t>
  </si>
  <si>
    <t>TXN-1101</t>
  </si>
  <si>
    <t>TXN-1406</t>
  </si>
  <si>
    <t>TXN-1056</t>
  </si>
  <si>
    <t>TXN-1198</t>
  </si>
  <si>
    <t>TXN-1283</t>
  </si>
  <si>
    <t>TXN-1334</t>
  </si>
  <si>
    <t>TXN-1148</t>
  </si>
  <si>
    <t>TXN-1487</t>
  </si>
  <si>
    <t>TXN-1024</t>
  </si>
  <si>
    <t>TXN-1135</t>
  </si>
  <si>
    <t>TXN-1124</t>
  </si>
  <si>
    <t>TXN-1264</t>
  </si>
  <si>
    <t>TXN-1468</t>
  </si>
  <si>
    <t>TXN-1140</t>
  </si>
  <si>
    <t>TXN-1357</t>
  </si>
  <si>
    <t>Month</t>
  </si>
  <si>
    <t>Revenue</t>
  </si>
  <si>
    <t>Profit</t>
  </si>
  <si>
    <t>Sum of Revenue</t>
  </si>
  <si>
    <t>Sum of Profit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</si>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</sst>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₹&quot;#,##0.00_);\(&quot;₹&quot;#,##0.00\)"/>
    <numFmt numFmtId="164" formatCode="yyyy\-mm\-dd\ hh:mm:ss"/>
  </numFmts>
  <fonts count="4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54"/>
      <color rgb="FF000000"/>
      <name val="Aptos Narrow"/>
      <scheme val="minor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14" fontId="1" fillId="0" borderId="1" xfId="0" applyNumberFormat="1" applyFont="1" applyBorder="1" applyAlignment="1">
      <alignment horizontal="center" vertical="top"/>
    </xf>
    <xf numFmtId="14" fontId="0" fillId="0" borderId="1" xfId="0" applyNumberFormat="1" applyBorder="1"/>
    <xf numFmtId="0" fontId="1" fillId="0" borderId="2" xfId="0" applyFont="1" applyBorder="1" applyAlignment="1">
      <alignment horizontal="center" vertical="top"/>
    </xf>
    <xf numFmtId="7" fontId="1" fillId="0" borderId="1" xfId="0" applyNumberFormat="1" applyFont="1" applyBorder="1" applyAlignment="1">
      <alignment horizontal="center" vertical="top"/>
    </xf>
    <xf numFmtId="7" fontId="0" fillId="0" borderId="1" xfId="0" applyNumberFormat="1" applyBorder="1"/>
    <xf numFmtId="7" fontId="0" fillId="0" borderId="0" xfId="0" applyNumberFormat="1"/>
    <xf numFmtId="0" fontId="1" fillId="0" borderId="3" xfId="0" applyFont="1" applyBorder="1" applyAlignment="1">
      <alignment horizontal="center" vertical="top"/>
    </xf>
    <xf numFmtId="0" fontId="0" fillId="0" borderId="3" xfId="0" applyBorder="1"/>
    <xf numFmtId="0" fontId="2" fillId="0" borderId="0" xfId="0" applyFont="1" applyAlignment="1">
      <alignment horizontal="center" vertical="center" readingOrder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2">
    <dxf>
      <numFmt numFmtId="11" formatCode="&quot;₹&quot;#,##0.00_);\(&quot;₹&quot;#,##0.00\)"/>
    </dxf>
    <dxf>
      <numFmt numFmtId="11" formatCode="&quot;₹&quot;#,##0.00_);\(&quot;₹&quot;#,##0.00\)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1" formatCode="&quot;₹&quot;#,##0.00_);\(&quot;₹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1" formatCode="&quot;₹&quot;#,##0.00_);\(&quot;₹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TABLES!PivotTable6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786165655291133E-2"/>
          <c:y val="6.5258814235374898E-2"/>
          <c:w val="0.78250540264067381"/>
          <c:h val="0.8723269789802824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TABLES'!$C$6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TABLES'!$B$7:$B$26</c:f>
              <c:multiLvlStrCache>
                <c:ptCount val="1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'PIVOT TABLES'!$C$7:$C$26</c:f>
              <c:numCache>
                <c:formatCode>"₹"#,##0.00_);\("₹"#,##0.00\)</c:formatCode>
                <c:ptCount val="17"/>
                <c:pt idx="0">
                  <c:v>4396937</c:v>
                </c:pt>
                <c:pt idx="1">
                  <c:v>5750716</c:v>
                </c:pt>
                <c:pt idx="2">
                  <c:v>2971373</c:v>
                </c:pt>
                <c:pt idx="3">
                  <c:v>5933676</c:v>
                </c:pt>
                <c:pt idx="4">
                  <c:v>5945298</c:v>
                </c:pt>
                <c:pt idx="5">
                  <c:v>4421377</c:v>
                </c:pt>
                <c:pt idx="6">
                  <c:v>6238326</c:v>
                </c:pt>
                <c:pt idx="7">
                  <c:v>5516215</c:v>
                </c:pt>
                <c:pt idx="8">
                  <c:v>6287061</c:v>
                </c:pt>
                <c:pt idx="9">
                  <c:v>5701193</c:v>
                </c:pt>
                <c:pt idx="10">
                  <c:v>4805813</c:v>
                </c:pt>
                <c:pt idx="11">
                  <c:v>6891165</c:v>
                </c:pt>
                <c:pt idx="12">
                  <c:v>6391041</c:v>
                </c:pt>
                <c:pt idx="13">
                  <c:v>6198065</c:v>
                </c:pt>
                <c:pt idx="14">
                  <c:v>4948958</c:v>
                </c:pt>
                <c:pt idx="15">
                  <c:v>6851293</c:v>
                </c:pt>
                <c:pt idx="16">
                  <c:v>2170720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2E-8746-8A35-124215FCB407}"/>
            </c:ext>
          </c:extLst>
        </c:ser>
        <c:ser>
          <c:idx val="1"/>
          <c:order val="1"/>
          <c:tx>
            <c:strRef>
              <c:f>'PIVOT TABLES'!$D$6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'PIVOT TABLES'!$B$7:$B$26</c:f>
              <c:multiLvlStrCache>
                <c:ptCount val="1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'PIVOT TABLES'!$D$7:$D$26</c:f>
              <c:numCache>
                <c:formatCode>"₹"#,##0.00_);\("₹"#,##0.00\)</c:formatCode>
                <c:ptCount val="17"/>
                <c:pt idx="0">
                  <c:v>4849466</c:v>
                </c:pt>
                <c:pt idx="1">
                  <c:v>6589724</c:v>
                </c:pt>
                <c:pt idx="2">
                  <c:v>3246948</c:v>
                </c:pt>
                <c:pt idx="3">
                  <c:v>6747792</c:v>
                </c:pt>
                <c:pt idx="4">
                  <c:v>6821796</c:v>
                </c:pt>
                <c:pt idx="5">
                  <c:v>5208851</c:v>
                </c:pt>
                <c:pt idx="6">
                  <c:v>6975183</c:v>
                </c:pt>
                <c:pt idx="7">
                  <c:v>6519337</c:v>
                </c:pt>
                <c:pt idx="8">
                  <c:v>7027581</c:v>
                </c:pt>
                <c:pt idx="9">
                  <c:v>6620798</c:v>
                </c:pt>
                <c:pt idx="10">
                  <c:v>5416585</c:v>
                </c:pt>
                <c:pt idx="11">
                  <c:v>7698282</c:v>
                </c:pt>
                <c:pt idx="12">
                  <c:v>7190376</c:v>
                </c:pt>
                <c:pt idx="13">
                  <c:v>6756671</c:v>
                </c:pt>
                <c:pt idx="14">
                  <c:v>5719965</c:v>
                </c:pt>
                <c:pt idx="15">
                  <c:v>7767640</c:v>
                </c:pt>
                <c:pt idx="16">
                  <c:v>2407057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2E-8746-8A35-124215FCB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1114433152"/>
        <c:axId val="1114433600"/>
      </c:lineChart>
      <c:catAx>
        <c:axId val="111443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33600"/>
        <c:crosses val="autoZero"/>
        <c:auto val="1"/>
        <c:lblAlgn val="ctr"/>
        <c:lblOffset val="100"/>
        <c:noMultiLvlLbl val="0"/>
      </c:catAx>
      <c:valAx>
        <c:axId val="111443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_);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3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267362701680695"/>
          <c:y val="0.44058235564982429"/>
          <c:w val="0.1273263729831931"/>
          <c:h val="9.48722560458522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alpha val="23306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Department-wise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1.488095238095238E-3"/>
              <c:y val="5.129300697877881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1.488095238095238E-3"/>
              <c:y val="2.54532136971250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5.4562861748657112E-17"/>
              <c:y val="5.129300697877881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1.488095238095238E-3"/>
              <c:y val="-3.8657958452867812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1.488095238095238E-3"/>
              <c:y val="-2.622637286618337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1.0912572349731422E-16"/>
              <c:y val="-5.20661661478361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5.4562861748657112E-17"/>
              <c:y val="5.129300697877881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1.488095238095238E-3"/>
              <c:y val="2.54532136971250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1.488095238095238E-3"/>
              <c:y val="5.129300697877881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1.0912572349731422E-16"/>
              <c:y val="-5.20661661478361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1.488095238095238E-3"/>
              <c:y val="-2.622637286618337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1.488095238095238E-3"/>
              <c:y val="-3.8657958452867812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5.4562861748657112E-17"/>
              <c:y val="5.129300697877881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1.488095238095238E-3"/>
              <c:y val="2.54532136971250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1.488095238095238E-3"/>
              <c:y val="5.129300697877881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-1.0912572349731422E-16"/>
              <c:y val="-5.20661661478361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1.488095238095238E-3"/>
              <c:y val="-2.622637286618337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1.488095238095238E-3"/>
              <c:y val="-3.8657958452867812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2EB-E447-AA12-41B8D9298CC5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EB-E447-AA12-41B8D9298CC5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2EB-E447-AA12-41B8D9298CC5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EB-E447-AA12-41B8D9298CC5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2EB-E447-AA12-41B8D9298CC5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EB-E447-AA12-41B8D9298CC5}"/>
              </c:ext>
            </c:extLst>
          </c:dPt>
          <c:dLbls>
            <c:dLbl>
              <c:idx val="0"/>
              <c:layout>
                <c:manualLayout>
                  <c:x val="-5.4562861748657112E-17"/>
                  <c:y val="5.12930069787788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EB-E447-AA12-41B8D9298CC5}"/>
                </c:ext>
              </c:extLst>
            </c:dLbl>
            <c:dLbl>
              <c:idx val="1"/>
              <c:layout>
                <c:manualLayout>
                  <c:x val="1.488095238095238E-3"/>
                  <c:y val="2.545321369712506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EB-E447-AA12-41B8D9298CC5}"/>
                </c:ext>
              </c:extLst>
            </c:dLbl>
            <c:dLbl>
              <c:idx val="2"/>
              <c:layout>
                <c:manualLayout>
                  <c:x val="1.488095238095238E-3"/>
                  <c:y val="5.12930069787788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EB-E447-AA12-41B8D9298CC5}"/>
                </c:ext>
              </c:extLst>
            </c:dLbl>
            <c:dLbl>
              <c:idx val="3"/>
              <c:layout>
                <c:manualLayout>
                  <c:x val="-1.0912572349731422E-16"/>
                  <c:y val="-5.206616614783617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EB-E447-AA12-41B8D9298CC5}"/>
                </c:ext>
              </c:extLst>
            </c:dLbl>
            <c:dLbl>
              <c:idx val="4"/>
              <c:layout>
                <c:manualLayout>
                  <c:x val="1.488095238095238E-3"/>
                  <c:y val="-2.622637286618337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EB-E447-AA12-41B8D9298CC5}"/>
                </c:ext>
              </c:extLst>
            </c:dLbl>
            <c:dLbl>
              <c:idx val="5"/>
              <c:layout>
                <c:manualLayout>
                  <c:x val="1.488095238095238E-3"/>
                  <c:y val="-3.8657958452867812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EB-E447-AA12-41B8D9298C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HR</c:v>
              </c:pt>
              <c:pt idx="1">
                <c:v>Finance</c:v>
              </c:pt>
              <c:pt idx="2">
                <c:v>Marketing</c:v>
              </c:pt>
              <c:pt idx="3">
                <c:v>Sales</c:v>
              </c:pt>
              <c:pt idx="4">
                <c:v>Operations</c:v>
              </c:pt>
              <c:pt idx="5">
                <c:v>IT</c:v>
              </c:pt>
            </c:strLit>
          </c:cat>
          <c:val>
            <c:numLit>
              <c:formatCode>General</c:formatCode>
              <c:ptCount val="6"/>
              <c:pt idx="0">
                <c:v>21246699</c:v>
              </c:pt>
              <c:pt idx="1">
                <c:v>16266123</c:v>
              </c:pt>
              <c:pt idx="2">
                <c:v>15217009</c:v>
              </c:pt>
              <c:pt idx="3">
                <c:v>13276355</c:v>
              </c:pt>
              <c:pt idx="4">
                <c:v>12854124</c:v>
              </c:pt>
              <c:pt idx="5">
                <c:v>12558917</c:v>
              </c:pt>
            </c:numLit>
          </c:val>
          <c:extLst>
            <c:ext xmlns:c16="http://schemas.microsoft.com/office/drawing/2014/chart" uri="{C3380CC4-5D6E-409C-BE32-E72D297353CC}">
              <c16:uniqueId val="{00000006-C2EB-E447-AA12-41B8D9298C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58741952"/>
        <c:axId val="1358743744"/>
      </c:barChart>
      <c:catAx>
        <c:axId val="135874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743744"/>
        <c:crosses val="autoZero"/>
        <c:auto val="1"/>
        <c:lblAlgn val="ctr"/>
        <c:lblOffset val="100"/>
        <c:noMultiLvlLbl val="0"/>
      </c:catAx>
      <c:valAx>
        <c:axId val="135874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741952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alpha val="40872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PRODUCT-WISE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983101717276781E-2"/>
          <c:y val="0.12675850641947761"/>
          <c:w val="0.8200701585707908"/>
          <c:h val="0.82263182927787226"/>
        </c:manualLayout>
      </c:layout>
      <c:barChart>
        <c:barDir val="bar"/>
        <c:grouping val="clustered"/>
        <c:varyColors val="1"/>
        <c:ser>
          <c:idx val="0"/>
          <c:order val="0"/>
          <c:tx>
            <c:v>Total</c:v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5F-B043-8271-617F9425AB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5F-B043-8271-617F9425AB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5F-B043-8271-617F9425AB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15F-B043-8271-617F9425AB2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15F-B043-8271-617F9425AB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Laptop</c:v>
              </c:pt>
              <c:pt idx="1">
                <c:v>Tablet</c:v>
              </c:pt>
              <c:pt idx="2">
                <c:v>Service</c:v>
              </c:pt>
              <c:pt idx="3">
                <c:v>Phone</c:v>
              </c:pt>
              <c:pt idx="4">
                <c:v>Software</c:v>
              </c:pt>
            </c:strLit>
          </c:cat>
          <c:val>
            <c:numLit>
              <c:formatCode>General</c:formatCode>
              <c:ptCount val="5"/>
              <c:pt idx="0">
                <c:v>24424591</c:v>
              </c:pt>
              <c:pt idx="1">
                <c:v>21908775</c:v>
              </c:pt>
              <c:pt idx="2">
                <c:v>19876132</c:v>
              </c:pt>
              <c:pt idx="3">
                <c:v>19072973</c:v>
              </c:pt>
              <c:pt idx="4">
                <c:v>18281581</c:v>
              </c:pt>
            </c:numLit>
          </c:val>
          <c:extLst>
            <c:ext xmlns:c16="http://schemas.microsoft.com/office/drawing/2014/chart" uri="{C3380CC4-5D6E-409C-BE32-E72D297353CC}">
              <c16:uniqueId val="{00000000-94B3-1B40-BCEB-7C8BE003E75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7647424"/>
        <c:axId val="1358745536"/>
      </c:barChart>
      <c:catAx>
        <c:axId val="1337647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745536"/>
        <c:crosses val="autoZero"/>
        <c:auto val="1"/>
        <c:lblAlgn val="ctr"/>
        <c:lblOffset val="100"/>
        <c:noMultiLvlLbl val="0"/>
      </c:catAx>
      <c:valAx>
        <c:axId val="13587455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64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252890318807676"/>
          <c:y val="0.40929448530974161"/>
          <c:w val="9.9297476239113378E-2"/>
          <c:h val="0.2819714864627813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tx1"/>
                </a:solidFill>
              </a:rPr>
              <a:t>PAYMENT METHOD</a:t>
            </a:r>
          </a:p>
        </c:rich>
      </c:tx>
      <c:layout>
        <c:manualLayout>
          <c:xMode val="edge"/>
          <c:yMode val="edge"/>
          <c:x val="0.30826948640789276"/>
          <c:y val="2.1449179492095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3271459241945699"/>
          <c:y val="0.16401893877551019"/>
          <c:w val="0.37055188309292764"/>
          <c:h val="0.7655046530612245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A62-CB47-827C-57267D27110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A62-CB47-827C-57267D27110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A62-CB47-827C-57267D27110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A62-CB47-827C-57267D2711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Cash</c:v>
              </c:pt>
              <c:pt idx="1">
                <c:v>Credit Card</c:v>
              </c:pt>
              <c:pt idx="2">
                <c:v>Bank Transfer</c:v>
              </c:pt>
              <c:pt idx="3">
                <c:v>UPI</c:v>
              </c:pt>
            </c:strLit>
          </c:cat>
          <c:val>
            <c:numLit>
              <c:formatCode>General</c:formatCode>
              <c:ptCount val="4"/>
              <c:pt idx="0">
                <c:v>31076617</c:v>
              </c:pt>
              <c:pt idx="1">
                <c:v>25515988</c:v>
              </c:pt>
              <c:pt idx="2">
                <c:v>25101535</c:v>
              </c:pt>
              <c:pt idx="3">
                <c:v>21869912</c:v>
              </c:pt>
            </c:numLit>
          </c:val>
          <c:extLst>
            <c:ext xmlns:c16="http://schemas.microsoft.com/office/drawing/2014/chart" uri="{C3380CC4-5D6E-409C-BE32-E72D297353CC}">
              <c16:uniqueId val="{00000000-E3C0-704D-B287-AAB01E907C1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08552160644989"/>
          <c:y val="0.28685397279885466"/>
          <c:w val="0.24228032500722099"/>
          <c:h val="0.3956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389466</xdr:colOff>
      <xdr:row>8</xdr:row>
      <xdr:rowOff>71348</xdr:rowOff>
    </xdr:from>
    <xdr:to>
      <xdr:col>5</xdr:col>
      <xdr:colOff>287866</xdr:colOff>
      <xdr:row>20</xdr:row>
      <xdr:rowOff>142697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BBE2B611-53FF-8531-B8B0-643869D9AC40}"/>
            </a:ext>
          </a:extLst>
        </xdr:cNvPr>
        <xdr:cNvGrpSpPr/>
      </xdr:nvGrpSpPr>
      <xdr:grpSpPr>
        <a:xfrm>
          <a:off x="389466" y="1900148"/>
          <a:ext cx="4089400" cy="2509749"/>
          <a:chOff x="224248" y="1574187"/>
          <a:chExt cx="4681160" cy="1537710"/>
        </a:xfrm>
        <a:solidFill>
          <a:schemeClr val="bg2"/>
        </a:solidFill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1D03853-1FB7-0A58-68F9-DAE7F3DDA04A}"/>
              </a:ext>
            </a:extLst>
          </xdr:cNvPr>
          <xdr:cNvSpPr/>
        </xdr:nvSpPr>
        <xdr:spPr>
          <a:xfrm>
            <a:off x="229569" y="1574187"/>
            <a:ext cx="4675838" cy="1079970"/>
          </a:xfrm>
          <a:prstGeom prst="rect">
            <a:avLst/>
          </a:prstGeom>
          <a:grpFill/>
          <a:ln>
            <a:solidFill>
              <a:srgbClr val="FFFF00"/>
            </a:solidFill>
          </a:ln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tint val="50000"/>
              <a:hueOff val="0"/>
              <a:satOff val="0"/>
              <a:lumOff val="0"/>
              <a:alphaOff val="0"/>
            </a:schemeClr>
          </a:fillRef>
          <a:effectRef idx="0">
            <a:schemeClr val="accent1">
              <a:tint val="50000"/>
              <a:hueOff val="0"/>
              <a:satOff val="0"/>
              <a:lumOff val="0"/>
              <a:alphaOff val="0"/>
            </a:schemeClr>
          </a:effectRef>
          <a:fontRef idx="minor">
            <a:schemeClr val="lt1">
              <a:hueOff val="0"/>
              <a:satOff val="0"/>
              <a:lumOff val="0"/>
              <a:alphaOff val="0"/>
            </a:schemeClr>
          </a:fontRef>
        </xdr:style>
        <xdr:txBody>
          <a:bodyPr/>
          <a:lstStyle/>
          <a:p>
            <a:endParaRPr lang="en-GB"/>
          </a:p>
        </xdr:txBody>
      </xdr:sp>
      <xdr:sp macro="" textlink="">
        <xdr:nvSpPr>
          <xdr:cNvPr id="12" name="Freeform 11">
            <a:extLst>
              <a:ext uri="{FF2B5EF4-FFF2-40B4-BE49-F238E27FC236}">
                <a16:creationId xmlns:a16="http://schemas.microsoft.com/office/drawing/2014/main" id="{62982D88-6A04-8EEE-EAA6-C866BAD6DBDC}"/>
              </a:ext>
            </a:extLst>
          </xdr:cNvPr>
          <xdr:cNvSpPr/>
        </xdr:nvSpPr>
        <xdr:spPr>
          <a:xfrm>
            <a:off x="224248" y="2418638"/>
            <a:ext cx="4681160" cy="693259"/>
          </a:xfrm>
          <a:custGeom>
            <a:avLst/>
            <a:gdLst>
              <a:gd name="csX0" fmla="*/ 0 w 1271587"/>
              <a:gd name="csY0" fmla="*/ 0 h 400049"/>
              <a:gd name="csX1" fmla="*/ 741759 w 1271587"/>
              <a:gd name="csY1" fmla="*/ 0 h 400049"/>
              <a:gd name="csX2" fmla="*/ 893290 w 1271587"/>
              <a:gd name="csY2" fmla="*/ -42805 h 400049"/>
              <a:gd name="csX3" fmla="*/ 1059656 w 1271587"/>
              <a:gd name="csY3" fmla="*/ 0 h 400049"/>
              <a:gd name="csX4" fmla="*/ 1271587 w 1271587"/>
              <a:gd name="csY4" fmla="*/ 0 h 400049"/>
              <a:gd name="csX5" fmla="*/ 1271587 w 1271587"/>
              <a:gd name="csY5" fmla="*/ 66675 h 400049"/>
              <a:gd name="csX6" fmla="*/ 1271587 w 1271587"/>
              <a:gd name="csY6" fmla="*/ 66675 h 400049"/>
              <a:gd name="csX7" fmla="*/ 1271587 w 1271587"/>
              <a:gd name="csY7" fmla="*/ 166687 h 400049"/>
              <a:gd name="csX8" fmla="*/ 1271587 w 1271587"/>
              <a:gd name="csY8" fmla="*/ 400049 h 400049"/>
              <a:gd name="csX9" fmla="*/ 1059656 w 1271587"/>
              <a:gd name="csY9" fmla="*/ 400049 h 400049"/>
              <a:gd name="csX10" fmla="*/ 741759 w 1271587"/>
              <a:gd name="csY10" fmla="*/ 400049 h 400049"/>
              <a:gd name="csX11" fmla="*/ 741759 w 1271587"/>
              <a:gd name="csY11" fmla="*/ 400049 h 400049"/>
              <a:gd name="csX12" fmla="*/ 0 w 1271587"/>
              <a:gd name="csY12" fmla="*/ 400049 h 400049"/>
              <a:gd name="csX13" fmla="*/ 0 w 1271587"/>
              <a:gd name="csY13" fmla="*/ 166687 h 400049"/>
              <a:gd name="csX14" fmla="*/ 0 w 1271587"/>
              <a:gd name="csY14" fmla="*/ 66675 h 400049"/>
              <a:gd name="csX15" fmla="*/ 0 w 1271587"/>
              <a:gd name="csY15" fmla="*/ 66675 h 400049"/>
              <a:gd name="csX16" fmla="*/ 0 w 1271587"/>
              <a:gd name="csY16" fmla="*/ 0 h 40004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</a:cxnLst>
            <a:rect l="l" t="t" r="r" b="b"/>
            <a:pathLst>
              <a:path w="1271587" h="400049">
                <a:moveTo>
                  <a:pt x="0" y="0"/>
                </a:moveTo>
                <a:lnTo>
                  <a:pt x="741759" y="0"/>
                </a:lnTo>
                <a:lnTo>
                  <a:pt x="893290" y="-42805"/>
                </a:lnTo>
                <a:lnTo>
                  <a:pt x="1059656" y="0"/>
                </a:lnTo>
                <a:lnTo>
                  <a:pt x="1271587" y="0"/>
                </a:lnTo>
                <a:lnTo>
                  <a:pt x="1271587" y="66675"/>
                </a:lnTo>
                <a:lnTo>
                  <a:pt x="1271587" y="66675"/>
                </a:lnTo>
                <a:lnTo>
                  <a:pt x="1271587" y="166687"/>
                </a:lnTo>
                <a:lnTo>
                  <a:pt x="1271587" y="400049"/>
                </a:lnTo>
                <a:lnTo>
                  <a:pt x="1059656" y="400049"/>
                </a:lnTo>
                <a:lnTo>
                  <a:pt x="741759" y="400049"/>
                </a:lnTo>
                <a:lnTo>
                  <a:pt x="741759" y="400049"/>
                </a:lnTo>
                <a:lnTo>
                  <a:pt x="0" y="400049"/>
                </a:lnTo>
                <a:lnTo>
                  <a:pt x="0" y="166687"/>
                </a:lnTo>
                <a:lnTo>
                  <a:pt x="0" y="66675"/>
                </a:lnTo>
                <a:lnTo>
                  <a:pt x="0" y="66675"/>
                </a:lnTo>
                <a:lnTo>
                  <a:pt x="0" y="0"/>
                </a:lnTo>
                <a:close/>
              </a:path>
            </a:pathLst>
          </a:custGeom>
          <a:grpFill/>
          <a:ln>
            <a:solidFill>
              <a:srgbClr val="FFFF00"/>
            </a:solidFill>
          </a:ln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marL="0" lvl="0" indent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GB" sz="1800" kern="12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442359</xdr:colOff>
      <xdr:row>9</xdr:row>
      <xdr:rowOff>85618</xdr:rowOff>
    </xdr:from>
    <xdr:to>
      <xdr:col>5</xdr:col>
      <xdr:colOff>186266</xdr:colOff>
      <xdr:row>13</xdr:row>
      <xdr:rowOff>142697</xdr:rowOff>
    </xdr:to>
    <xdr:sp macro="" textlink="">
      <xdr:nvSpPr>
        <xdr:cNvPr id="15362" name="Text Box 2">
          <a:extLst>
            <a:ext uri="{FF2B5EF4-FFF2-40B4-BE49-F238E27FC236}">
              <a16:creationId xmlns:a16="http://schemas.microsoft.com/office/drawing/2014/main" id="{468519D6-B2D4-67EB-8E7A-8976292DFE89}"/>
            </a:ext>
          </a:extLst>
        </xdr:cNvPr>
        <xdr:cNvSpPr txBox="1">
          <a:spLocks noChangeArrowheads="1"/>
        </xdr:cNvSpPr>
      </xdr:nvSpPr>
      <xdr:spPr bwMode="auto">
        <a:xfrm>
          <a:off x="442359" y="2117618"/>
          <a:ext cx="3892574" cy="869879"/>
        </a:xfrm>
        <a:prstGeom prst="rect">
          <a:avLst/>
        </a:prstGeom>
        <a:solidFill>
          <a:schemeClr val="bg2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GB" sz="5400" b="0" i="0" u="none" strike="noStrike" baseline="0">
              <a:solidFill>
                <a:srgbClr val="000000"/>
              </a:solidFill>
              <a:latin typeface="Aptos Narrow" pitchFamily="2" charset="0"/>
            </a:rPr>
            <a:t>Total </a:t>
          </a:r>
          <a:r>
            <a:rPr lang="en-GB" sz="4800" b="0" i="0" u="none" strike="noStrike" baseline="0">
              <a:solidFill>
                <a:srgbClr val="000000"/>
              </a:solidFill>
              <a:latin typeface="Aptos Narrow" pitchFamily="2" charset="0"/>
            </a:rPr>
            <a:t>Revenue</a:t>
          </a:r>
        </a:p>
      </xdr:txBody>
    </xdr:sp>
    <xdr:clientData/>
  </xdr:twoCellAnchor>
  <xdr:twoCellAnchor>
    <xdr:from>
      <xdr:col>0</xdr:col>
      <xdr:colOff>684945</xdr:colOff>
      <xdr:row>15</xdr:row>
      <xdr:rowOff>99888</xdr:rowOff>
    </xdr:from>
    <xdr:to>
      <xdr:col>5</xdr:col>
      <xdr:colOff>2</xdr:colOff>
      <xdr:row>20</xdr:row>
      <xdr:rowOff>14270</xdr:rowOff>
    </xdr:to>
    <xdr:sp macro="" textlink="">
      <xdr:nvSpPr>
        <xdr:cNvPr id="15363" name="Text Box 3">
          <a:extLst>
            <a:ext uri="{FF2B5EF4-FFF2-40B4-BE49-F238E27FC236}">
              <a16:creationId xmlns:a16="http://schemas.microsoft.com/office/drawing/2014/main" id="{3B09F83D-076F-70F0-6168-88419E9AA391}"/>
            </a:ext>
          </a:extLst>
        </xdr:cNvPr>
        <xdr:cNvSpPr txBox="1">
          <a:spLocks noChangeArrowheads="1"/>
        </xdr:cNvSpPr>
      </xdr:nvSpPr>
      <xdr:spPr bwMode="auto">
        <a:xfrm>
          <a:off x="684945" y="3296292"/>
          <a:ext cx="3453259" cy="913259"/>
        </a:xfrm>
        <a:prstGeom prst="rect">
          <a:avLst/>
        </a:prstGeom>
        <a:solidFill>
          <a:schemeClr val="bg2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GB" sz="5400" b="0" i="0" u="none" strike="noStrike" baseline="0">
              <a:solidFill>
                <a:srgbClr val="000000"/>
              </a:solidFill>
              <a:latin typeface="Aptos Narrow" pitchFamily="2" charset="0"/>
            </a:rPr>
            <a:t>₹10.35 </a:t>
          </a:r>
          <a:r>
            <a:rPr lang="en-GB" sz="4800" b="0" i="0" u="none" strike="noStrike" baseline="0">
              <a:solidFill>
                <a:srgbClr val="000000"/>
              </a:solidFill>
              <a:latin typeface="Aptos Narrow" pitchFamily="2" charset="0"/>
            </a:rPr>
            <a:t>Cr</a:t>
          </a:r>
        </a:p>
      </xdr:txBody>
    </xdr:sp>
    <xdr:clientData/>
  </xdr:twoCellAnchor>
  <xdr:twoCellAnchor>
    <xdr:from>
      <xdr:col>5</xdr:col>
      <xdr:colOff>406591</xdr:colOff>
      <xdr:row>8</xdr:row>
      <xdr:rowOff>101600</xdr:rowOff>
    </xdr:from>
    <xdr:to>
      <xdr:col>11</xdr:col>
      <xdr:colOff>270934</xdr:colOff>
      <xdr:row>20</xdr:row>
      <xdr:rowOff>148023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19B2BB67-02D8-711A-5F0B-8A4E8ABF5FD9}"/>
            </a:ext>
          </a:extLst>
        </xdr:cNvPr>
        <xdr:cNvGrpSpPr/>
      </xdr:nvGrpSpPr>
      <xdr:grpSpPr>
        <a:xfrm>
          <a:off x="4597591" y="1930400"/>
          <a:ext cx="4436343" cy="2484823"/>
          <a:chOff x="4663326" y="1882702"/>
          <a:chExt cx="4397910" cy="2426735"/>
        </a:xfrm>
      </xdr:grpSpPr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43BAFF62-CA9B-E95C-0716-0B3BABCAFBCE}"/>
              </a:ext>
            </a:extLst>
          </xdr:cNvPr>
          <xdr:cNvSpPr/>
        </xdr:nvSpPr>
        <xdr:spPr>
          <a:xfrm>
            <a:off x="4663326" y="1882702"/>
            <a:ext cx="4397910" cy="1342242"/>
          </a:xfrm>
          <a:prstGeom prst="rect">
            <a:avLst/>
          </a:prstGeom>
          <a:solidFill>
            <a:schemeClr val="bg2"/>
          </a:solidFill>
          <a:ln>
            <a:solidFill>
              <a:srgbClr val="FFFF00"/>
            </a:solidFill>
          </a:ln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tint val="50000"/>
              <a:hueOff val="0"/>
              <a:satOff val="0"/>
              <a:lumOff val="0"/>
              <a:alphaOff val="0"/>
            </a:schemeClr>
          </a:fillRef>
          <a:effectRef idx="0">
            <a:schemeClr val="accent1">
              <a:tint val="50000"/>
              <a:hueOff val="0"/>
              <a:satOff val="0"/>
              <a:lumOff val="0"/>
              <a:alphaOff val="0"/>
            </a:schemeClr>
          </a:effectRef>
          <a:fontRef idx="minor">
            <a:schemeClr val="lt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8" name="Freeform 37">
            <a:extLst>
              <a:ext uri="{FF2B5EF4-FFF2-40B4-BE49-F238E27FC236}">
                <a16:creationId xmlns:a16="http://schemas.microsoft.com/office/drawing/2014/main" id="{836D2E7C-0264-CFE9-1D50-8303CE7A1D0E}"/>
              </a:ext>
            </a:extLst>
          </xdr:cNvPr>
          <xdr:cNvSpPr/>
        </xdr:nvSpPr>
        <xdr:spPr>
          <a:xfrm>
            <a:off x="4677755" y="3211064"/>
            <a:ext cx="4383481" cy="1098373"/>
          </a:xfrm>
          <a:custGeom>
            <a:avLst/>
            <a:gdLst>
              <a:gd name="csX0" fmla="*/ 0 w 1271587"/>
              <a:gd name="csY0" fmla="*/ 0 h 400049"/>
              <a:gd name="csX1" fmla="*/ 741759 w 1271587"/>
              <a:gd name="csY1" fmla="*/ 0 h 400049"/>
              <a:gd name="csX2" fmla="*/ 893290 w 1271587"/>
              <a:gd name="csY2" fmla="*/ -42805 h 400049"/>
              <a:gd name="csX3" fmla="*/ 1059656 w 1271587"/>
              <a:gd name="csY3" fmla="*/ 0 h 400049"/>
              <a:gd name="csX4" fmla="*/ 1271587 w 1271587"/>
              <a:gd name="csY4" fmla="*/ 0 h 400049"/>
              <a:gd name="csX5" fmla="*/ 1271587 w 1271587"/>
              <a:gd name="csY5" fmla="*/ 66675 h 400049"/>
              <a:gd name="csX6" fmla="*/ 1271587 w 1271587"/>
              <a:gd name="csY6" fmla="*/ 66675 h 400049"/>
              <a:gd name="csX7" fmla="*/ 1271587 w 1271587"/>
              <a:gd name="csY7" fmla="*/ 166687 h 400049"/>
              <a:gd name="csX8" fmla="*/ 1271587 w 1271587"/>
              <a:gd name="csY8" fmla="*/ 400049 h 400049"/>
              <a:gd name="csX9" fmla="*/ 1059656 w 1271587"/>
              <a:gd name="csY9" fmla="*/ 400049 h 400049"/>
              <a:gd name="csX10" fmla="*/ 741759 w 1271587"/>
              <a:gd name="csY10" fmla="*/ 400049 h 400049"/>
              <a:gd name="csX11" fmla="*/ 741759 w 1271587"/>
              <a:gd name="csY11" fmla="*/ 400049 h 400049"/>
              <a:gd name="csX12" fmla="*/ 0 w 1271587"/>
              <a:gd name="csY12" fmla="*/ 400049 h 400049"/>
              <a:gd name="csX13" fmla="*/ 0 w 1271587"/>
              <a:gd name="csY13" fmla="*/ 166687 h 400049"/>
              <a:gd name="csX14" fmla="*/ 0 w 1271587"/>
              <a:gd name="csY14" fmla="*/ 66675 h 400049"/>
              <a:gd name="csX15" fmla="*/ 0 w 1271587"/>
              <a:gd name="csY15" fmla="*/ 66675 h 400049"/>
              <a:gd name="csX16" fmla="*/ 0 w 1271587"/>
              <a:gd name="csY16" fmla="*/ 0 h 40004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</a:cxnLst>
            <a:rect l="l" t="t" r="r" b="b"/>
            <a:pathLst>
              <a:path w="1271587" h="400049">
                <a:moveTo>
                  <a:pt x="0" y="0"/>
                </a:moveTo>
                <a:lnTo>
                  <a:pt x="741759" y="0"/>
                </a:lnTo>
                <a:lnTo>
                  <a:pt x="893290" y="-42805"/>
                </a:lnTo>
                <a:lnTo>
                  <a:pt x="1059656" y="0"/>
                </a:lnTo>
                <a:lnTo>
                  <a:pt x="1271587" y="0"/>
                </a:lnTo>
                <a:lnTo>
                  <a:pt x="1271587" y="66675"/>
                </a:lnTo>
                <a:lnTo>
                  <a:pt x="1271587" y="66675"/>
                </a:lnTo>
                <a:lnTo>
                  <a:pt x="1271587" y="166687"/>
                </a:lnTo>
                <a:lnTo>
                  <a:pt x="1271587" y="400049"/>
                </a:lnTo>
                <a:lnTo>
                  <a:pt x="1059656" y="400049"/>
                </a:lnTo>
                <a:lnTo>
                  <a:pt x="741759" y="400049"/>
                </a:lnTo>
                <a:lnTo>
                  <a:pt x="741759" y="400049"/>
                </a:lnTo>
                <a:lnTo>
                  <a:pt x="0" y="400049"/>
                </a:lnTo>
                <a:lnTo>
                  <a:pt x="0" y="166687"/>
                </a:lnTo>
                <a:lnTo>
                  <a:pt x="0" y="66675"/>
                </a:lnTo>
                <a:lnTo>
                  <a:pt x="0" y="66675"/>
                </a:lnTo>
                <a:lnTo>
                  <a:pt x="0" y="0"/>
                </a:lnTo>
                <a:close/>
              </a:path>
            </a:pathLst>
          </a:custGeom>
          <a:solidFill>
            <a:schemeClr val="bg2"/>
          </a:solidFill>
          <a:ln>
            <a:solidFill>
              <a:srgbClr val="FFFF00"/>
            </a:solidFill>
          </a:ln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marL="0" lvl="0" indent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GB" sz="1800" kern="1200"/>
          </a:p>
        </xdr:txBody>
      </xdr:sp>
    </xdr:grpSp>
    <xdr:clientData/>
  </xdr:twoCellAnchor>
  <xdr:twoCellAnchor>
    <xdr:from>
      <xdr:col>11</xdr:col>
      <xdr:colOff>364067</xdr:colOff>
      <xdr:row>8</xdr:row>
      <xdr:rowOff>139701</xdr:rowOff>
    </xdr:from>
    <xdr:to>
      <xdr:col>16</xdr:col>
      <xdr:colOff>457200</xdr:colOff>
      <xdr:row>21</xdr:row>
      <xdr:rowOff>14533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262EE072-3A36-C4F6-8B55-C1B80693E4D6}"/>
            </a:ext>
          </a:extLst>
        </xdr:cNvPr>
        <xdr:cNvGrpSpPr/>
      </xdr:nvGrpSpPr>
      <xdr:grpSpPr>
        <a:xfrm>
          <a:off x="9127067" y="1968501"/>
          <a:ext cx="4284133" cy="2516432"/>
          <a:chOff x="9185070" y="1963446"/>
          <a:chExt cx="4443736" cy="2580121"/>
        </a:xfrm>
      </xdr:grpSpPr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72A9209C-7ABD-37E4-D195-D5932B7F1ADF}"/>
              </a:ext>
            </a:extLst>
          </xdr:cNvPr>
          <xdr:cNvSpPr/>
        </xdr:nvSpPr>
        <xdr:spPr>
          <a:xfrm>
            <a:off x="9185070" y="1963446"/>
            <a:ext cx="4424149" cy="1438385"/>
          </a:xfrm>
          <a:prstGeom prst="rect">
            <a:avLst/>
          </a:prstGeom>
          <a:solidFill>
            <a:schemeClr val="bg2"/>
          </a:solidFill>
          <a:ln>
            <a:solidFill>
              <a:srgbClr val="FFFF00"/>
            </a:solidFill>
          </a:ln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tint val="50000"/>
              <a:hueOff val="0"/>
              <a:satOff val="0"/>
              <a:lumOff val="0"/>
              <a:alphaOff val="0"/>
            </a:schemeClr>
          </a:fillRef>
          <a:effectRef idx="0">
            <a:schemeClr val="accent1">
              <a:tint val="50000"/>
              <a:hueOff val="0"/>
              <a:satOff val="0"/>
              <a:lumOff val="0"/>
              <a:alphaOff val="0"/>
            </a:schemeClr>
          </a:effectRef>
          <a:fontRef idx="minor">
            <a:schemeClr val="lt1">
              <a:hueOff val="0"/>
              <a:satOff val="0"/>
              <a:lumOff val="0"/>
              <a:alphaOff val="0"/>
            </a:schemeClr>
          </a:fontRef>
        </xdr:style>
        <xdr:txBody>
          <a:bodyPr/>
          <a:lstStyle/>
          <a:p>
            <a:endParaRPr lang="en-GB"/>
          </a:p>
        </xdr:txBody>
      </xdr:sp>
      <xdr:sp macro="" textlink="">
        <xdr:nvSpPr>
          <xdr:cNvPr id="40" name="Freeform 39">
            <a:extLst>
              <a:ext uri="{FF2B5EF4-FFF2-40B4-BE49-F238E27FC236}">
                <a16:creationId xmlns:a16="http://schemas.microsoft.com/office/drawing/2014/main" id="{5CA6CCC6-7384-8651-37B5-EAF8CEC6EFD9}"/>
              </a:ext>
            </a:extLst>
          </xdr:cNvPr>
          <xdr:cNvSpPr/>
        </xdr:nvSpPr>
        <xdr:spPr>
          <a:xfrm>
            <a:off x="9218513" y="3356415"/>
            <a:ext cx="4410293" cy="1187152"/>
          </a:xfrm>
          <a:custGeom>
            <a:avLst/>
            <a:gdLst>
              <a:gd name="csX0" fmla="*/ 0 w 1271587"/>
              <a:gd name="csY0" fmla="*/ 0 h 400049"/>
              <a:gd name="csX1" fmla="*/ 741759 w 1271587"/>
              <a:gd name="csY1" fmla="*/ 0 h 400049"/>
              <a:gd name="csX2" fmla="*/ 893290 w 1271587"/>
              <a:gd name="csY2" fmla="*/ -42805 h 400049"/>
              <a:gd name="csX3" fmla="*/ 1059656 w 1271587"/>
              <a:gd name="csY3" fmla="*/ 0 h 400049"/>
              <a:gd name="csX4" fmla="*/ 1271587 w 1271587"/>
              <a:gd name="csY4" fmla="*/ 0 h 400049"/>
              <a:gd name="csX5" fmla="*/ 1271587 w 1271587"/>
              <a:gd name="csY5" fmla="*/ 66675 h 400049"/>
              <a:gd name="csX6" fmla="*/ 1271587 w 1271587"/>
              <a:gd name="csY6" fmla="*/ 66675 h 400049"/>
              <a:gd name="csX7" fmla="*/ 1271587 w 1271587"/>
              <a:gd name="csY7" fmla="*/ 166687 h 400049"/>
              <a:gd name="csX8" fmla="*/ 1271587 w 1271587"/>
              <a:gd name="csY8" fmla="*/ 400049 h 400049"/>
              <a:gd name="csX9" fmla="*/ 1059656 w 1271587"/>
              <a:gd name="csY9" fmla="*/ 400049 h 400049"/>
              <a:gd name="csX10" fmla="*/ 741759 w 1271587"/>
              <a:gd name="csY10" fmla="*/ 400049 h 400049"/>
              <a:gd name="csX11" fmla="*/ 741759 w 1271587"/>
              <a:gd name="csY11" fmla="*/ 400049 h 400049"/>
              <a:gd name="csX12" fmla="*/ 0 w 1271587"/>
              <a:gd name="csY12" fmla="*/ 400049 h 400049"/>
              <a:gd name="csX13" fmla="*/ 0 w 1271587"/>
              <a:gd name="csY13" fmla="*/ 166687 h 400049"/>
              <a:gd name="csX14" fmla="*/ 0 w 1271587"/>
              <a:gd name="csY14" fmla="*/ 66675 h 400049"/>
              <a:gd name="csX15" fmla="*/ 0 w 1271587"/>
              <a:gd name="csY15" fmla="*/ 66675 h 400049"/>
              <a:gd name="csX16" fmla="*/ 0 w 1271587"/>
              <a:gd name="csY16" fmla="*/ 0 h 40004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</a:cxnLst>
            <a:rect l="l" t="t" r="r" b="b"/>
            <a:pathLst>
              <a:path w="1271587" h="400049">
                <a:moveTo>
                  <a:pt x="0" y="0"/>
                </a:moveTo>
                <a:lnTo>
                  <a:pt x="741759" y="0"/>
                </a:lnTo>
                <a:lnTo>
                  <a:pt x="893290" y="-42805"/>
                </a:lnTo>
                <a:lnTo>
                  <a:pt x="1059656" y="0"/>
                </a:lnTo>
                <a:lnTo>
                  <a:pt x="1271587" y="0"/>
                </a:lnTo>
                <a:lnTo>
                  <a:pt x="1271587" y="66675"/>
                </a:lnTo>
                <a:lnTo>
                  <a:pt x="1271587" y="66675"/>
                </a:lnTo>
                <a:lnTo>
                  <a:pt x="1271587" y="166687"/>
                </a:lnTo>
                <a:lnTo>
                  <a:pt x="1271587" y="400049"/>
                </a:lnTo>
                <a:lnTo>
                  <a:pt x="1059656" y="400049"/>
                </a:lnTo>
                <a:lnTo>
                  <a:pt x="741759" y="400049"/>
                </a:lnTo>
                <a:lnTo>
                  <a:pt x="741759" y="400049"/>
                </a:lnTo>
                <a:lnTo>
                  <a:pt x="0" y="400049"/>
                </a:lnTo>
                <a:lnTo>
                  <a:pt x="0" y="166687"/>
                </a:lnTo>
                <a:lnTo>
                  <a:pt x="0" y="66675"/>
                </a:lnTo>
                <a:lnTo>
                  <a:pt x="0" y="66675"/>
                </a:lnTo>
                <a:lnTo>
                  <a:pt x="0" y="0"/>
                </a:lnTo>
                <a:close/>
              </a:path>
            </a:pathLst>
          </a:custGeom>
          <a:solidFill>
            <a:schemeClr val="bg2"/>
          </a:solidFill>
          <a:ln>
            <a:solidFill>
              <a:srgbClr val="FFFF00"/>
            </a:solidFill>
          </a:ln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marL="0" lvl="0" indent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GB" sz="1800" kern="1200"/>
          </a:p>
        </xdr:txBody>
      </xdr:sp>
    </xdr:grpSp>
    <xdr:clientData/>
  </xdr:twoCellAnchor>
  <xdr:twoCellAnchor>
    <xdr:from>
      <xdr:col>16</xdr:col>
      <xdr:colOff>546902</xdr:colOff>
      <xdr:row>8</xdr:row>
      <xdr:rowOff>150272</xdr:rowOff>
    </xdr:from>
    <xdr:to>
      <xdr:col>22</xdr:col>
      <xdr:colOff>70890</xdr:colOff>
      <xdr:row>21</xdr:row>
      <xdr:rowOff>37153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12C3E97B-8120-521A-A210-6FEB85D25FE7}"/>
            </a:ext>
          </a:extLst>
        </xdr:cNvPr>
        <xdr:cNvGrpSpPr/>
      </xdr:nvGrpSpPr>
      <xdr:grpSpPr>
        <a:xfrm>
          <a:off x="13500902" y="1979072"/>
          <a:ext cx="4553188" cy="2528481"/>
          <a:chOff x="13704230" y="1957084"/>
          <a:chExt cx="4511740" cy="2592170"/>
        </a:xfrm>
      </xdr:grpSpPr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CFD9C394-06B1-D222-9AE7-09B344AC3B8E}"/>
              </a:ext>
            </a:extLst>
          </xdr:cNvPr>
          <xdr:cNvSpPr/>
        </xdr:nvSpPr>
        <xdr:spPr>
          <a:xfrm>
            <a:off x="13704230" y="1957084"/>
            <a:ext cx="4443500" cy="1360080"/>
          </a:xfrm>
          <a:prstGeom prst="rect">
            <a:avLst/>
          </a:prstGeom>
          <a:solidFill>
            <a:schemeClr val="bg2"/>
          </a:solidFill>
          <a:ln>
            <a:solidFill>
              <a:srgbClr val="FFFF00"/>
            </a:solidFill>
          </a:ln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tint val="50000"/>
              <a:hueOff val="0"/>
              <a:satOff val="0"/>
              <a:lumOff val="0"/>
              <a:alphaOff val="0"/>
            </a:schemeClr>
          </a:fillRef>
          <a:effectRef idx="0">
            <a:schemeClr val="accent1">
              <a:tint val="50000"/>
              <a:hueOff val="0"/>
              <a:satOff val="0"/>
              <a:lumOff val="0"/>
              <a:alphaOff val="0"/>
            </a:schemeClr>
          </a:effectRef>
          <a:fontRef idx="minor">
            <a:schemeClr val="lt1">
              <a:hueOff val="0"/>
              <a:satOff val="0"/>
              <a:lumOff val="0"/>
              <a:alphaOff val="0"/>
            </a:schemeClr>
          </a:fontRef>
        </xdr:style>
        <xdr:txBody>
          <a:bodyPr/>
          <a:lstStyle/>
          <a:p>
            <a:endParaRPr lang="en-GB"/>
          </a:p>
        </xdr:txBody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D424F467-87FD-B593-30EA-D6E7F72B24BB}"/>
              </a:ext>
            </a:extLst>
          </xdr:cNvPr>
          <xdr:cNvSpPr/>
        </xdr:nvSpPr>
        <xdr:spPr>
          <a:xfrm>
            <a:off x="13706769" y="3294553"/>
            <a:ext cx="4509201" cy="1254701"/>
          </a:xfrm>
          <a:custGeom>
            <a:avLst/>
            <a:gdLst>
              <a:gd name="csX0" fmla="*/ 0 w 1271587"/>
              <a:gd name="csY0" fmla="*/ 0 h 400049"/>
              <a:gd name="csX1" fmla="*/ 741759 w 1271587"/>
              <a:gd name="csY1" fmla="*/ 0 h 400049"/>
              <a:gd name="csX2" fmla="*/ 893290 w 1271587"/>
              <a:gd name="csY2" fmla="*/ -42805 h 400049"/>
              <a:gd name="csX3" fmla="*/ 1059656 w 1271587"/>
              <a:gd name="csY3" fmla="*/ 0 h 400049"/>
              <a:gd name="csX4" fmla="*/ 1271587 w 1271587"/>
              <a:gd name="csY4" fmla="*/ 0 h 400049"/>
              <a:gd name="csX5" fmla="*/ 1271587 w 1271587"/>
              <a:gd name="csY5" fmla="*/ 66675 h 400049"/>
              <a:gd name="csX6" fmla="*/ 1271587 w 1271587"/>
              <a:gd name="csY6" fmla="*/ 66675 h 400049"/>
              <a:gd name="csX7" fmla="*/ 1271587 w 1271587"/>
              <a:gd name="csY7" fmla="*/ 166687 h 400049"/>
              <a:gd name="csX8" fmla="*/ 1271587 w 1271587"/>
              <a:gd name="csY8" fmla="*/ 400049 h 400049"/>
              <a:gd name="csX9" fmla="*/ 1059656 w 1271587"/>
              <a:gd name="csY9" fmla="*/ 400049 h 400049"/>
              <a:gd name="csX10" fmla="*/ 741759 w 1271587"/>
              <a:gd name="csY10" fmla="*/ 400049 h 400049"/>
              <a:gd name="csX11" fmla="*/ 741759 w 1271587"/>
              <a:gd name="csY11" fmla="*/ 400049 h 400049"/>
              <a:gd name="csX12" fmla="*/ 0 w 1271587"/>
              <a:gd name="csY12" fmla="*/ 400049 h 400049"/>
              <a:gd name="csX13" fmla="*/ 0 w 1271587"/>
              <a:gd name="csY13" fmla="*/ 166687 h 400049"/>
              <a:gd name="csX14" fmla="*/ 0 w 1271587"/>
              <a:gd name="csY14" fmla="*/ 66675 h 400049"/>
              <a:gd name="csX15" fmla="*/ 0 w 1271587"/>
              <a:gd name="csY15" fmla="*/ 66675 h 400049"/>
              <a:gd name="csX16" fmla="*/ 0 w 1271587"/>
              <a:gd name="csY16" fmla="*/ 0 h 400049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</a:cxnLst>
            <a:rect l="l" t="t" r="r" b="b"/>
            <a:pathLst>
              <a:path w="1271587" h="400049">
                <a:moveTo>
                  <a:pt x="0" y="0"/>
                </a:moveTo>
                <a:lnTo>
                  <a:pt x="741759" y="0"/>
                </a:lnTo>
                <a:lnTo>
                  <a:pt x="893290" y="-42805"/>
                </a:lnTo>
                <a:lnTo>
                  <a:pt x="1059656" y="0"/>
                </a:lnTo>
                <a:lnTo>
                  <a:pt x="1271587" y="0"/>
                </a:lnTo>
                <a:lnTo>
                  <a:pt x="1271587" y="66675"/>
                </a:lnTo>
                <a:lnTo>
                  <a:pt x="1271587" y="66675"/>
                </a:lnTo>
                <a:lnTo>
                  <a:pt x="1271587" y="166687"/>
                </a:lnTo>
                <a:lnTo>
                  <a:pt x="1271587" y="400049"/>
                </a:lnTo>
                <a:lnTo>
                  <a:pt x="1059656" y="400049"/>
                </a:lnTo>
                <a:lnTo>
                  <a:pt x="741759" y="400049"/>
                </a:lnTo>
                <a:lnTo>
                  <a:pt x="741759" y="400049"/>
                </a:lnTo>
                <a:lnTo>
                  <a:pt x="0" y="400049"/>
                </a:lnTo>
                <a:lnTo>
                  <a:pt x="0" y="166687"/>
                </a:lnTo>
                <a:lnTo>
                  <a:pt x="0" y="66675"/>
                </a:lnTo>
                <a:lnTo>
                  <a:pt x="0" y="66675"/>
                </a:lnTo>
                <a:lnTo>
                  <a:pt x="0" y="0"/>
                </a:lnTo>
                <a:close/>
              </a:path>
            </a:pathLst>
          </a:custGeom>
          <a:solidFill>
            <a:schemeClr val="bg2"/>
          </a:solidFill>
          <a:ln>
            <a:solidFill>
              <a:srgbClr val="FFFF00"/>
            </a:solidFill>
          </a:ln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marL="0" lvl="0" indent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endParaRPr lang="en-GB" sz="1800" kern="1200"/>
          </a:p>
        </xdr:txBody>
      </xdr:sp>
    </xdr:grpSp>
    <xdr:clientData/>
  </xdr:twoCellAnchor>
  <xdr:twoCellAnchor>
    <xdr:from>
      <xdr:col>5</xdr:col>
      <xdr:colOff>629769</xdr:colOff>
      <xdr:row>15</xdr:row>
      <xdr:rowOff>145358</xdr:rowOff>
    </xdr:from>
    <xdr:to>
      <xdr:col>11</xdr:col>
      <xdr:colOff>1903</xdr:colOff>
      <xdr:row>20</xdr:row>
      <xdr:rowOff>13507</xdr:rowOff>
    </xdr:to>
    <xdr:sp macro="" textlink="">
      <xdr:nvSpPr>
        <xdr:cNvPr id="15364" name="Text Box 4">
          <a:extLst>
            <a:ext uri="{FF2B5EF4-FFF2-40B4-BE49-F238E27FC236}">
              <a16:creationId xmlns:a16="http://schemas.microsoft.com/office/drawing/2014/main" id="{6C860BAD-CBC3-3490-F203-20BA4A7033BF}"/>
            </a:ext>
          </a:extLst>
        </xdr:cNvPr>
        <xdr:cNvSpPr txBox="1">
          <a:spLocks noChangeArrowheads="1"/>
        </xdr:cNvSpPr>
      </xdr:nvSpPr>
      <xdr:spPr bwMode="auto">
        <a:xfrm>
          <a:off x="4778436" y="3396558"/>
          <a:ext cx="3910267" cy="884149"/>
        </a:xfrm>
        <a:prstGeom prst="rect">
          <a:avLst/>
        </a:prstGeom>
        <a:solidFill>
          <a:schemeClr val="bg2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GB" sz="5400" b="0" i="0" u="none" strike="noStrike" baseline="0">
              <a:solidFill>
                <a:srgbClr val="000000"/>
              </a:solidFill>
              <a:latin typeface="Aptos Narrow" pitchFamily="2" charset="0"/>
            </a:rPr>
            <a:t>₹9.14 Cr</a:t>
          </a:r>
        </a:p>
      </xdr:txBody>
    </xdr:sp>
    <xdr:clientData/>
  </xdr:twoCellAnchor>
  <xdr:twoCellAnchor>
    <xdr:from>
      <xdr:col>6</xdr:col>
      <xdr:colOff>42808</xdr:colOff>
      <xdr:row>9</xdr:row>
      <xdr:rowOff>142695</xdr:rowOff>
    </xdr:from>
    <xdr:to>
      <xdr:col>10</xdr:col>
      <xdr:colOff>656405</xdr:colOff>
      <xdr:row>14</xdr:row>
      <xdr:rowOff>28538</xdr:rowOff>
    </xdr:to>
    <xdr:sp macro="" textlink="">
      <xdr:nvSpPr>
        <xdr:cNvPr id="15365" name="Text Box 5">
          <a:extLst>
            <a:ext uri="{FF2B5EF4-FFF2-40B4-BE49-F238E27FC236}">
              <a16:creationId xmlns:a16="http://schemas.microsoft.com/office/drawing/2014/main" id="{5ACEFB14-8E37-CE31-136A-50DC214150C2}"/>
            </a:ext>
          </a:extLst>
        </xdr:cNvPr>
        <xdr:cNvSpPr txBox="1">
          <a:spLocks noChangeArrowheads="1"/>
        </xdr:cNvSpPr>
      </xdr:nvSpPr>
      <xdr:spPr bwMode="auto">
        <a:xfrm>
          <a:off x="5008651" y="2140448"/>
          <a:ext cx="3481799" cy="884719"/>
        </a:xfrm>
        <a:prstGeom prst="rect">
          <a:avLst/>
        </a:prstGeom>
        <a:solidFill>
          <a:schemeClr val="bg2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GB" sz="5400" b="0" i="0" u="none" strike="noStrike" baseline="0">
              <a:solidFill>
                <a:srgbClr val="000000"/>
              </a:solidFill>
              <a:latin typeface="Aptos Narrow" pitchFamily="2" charset="0"/>
            </a:rPr>
            <a:t>Total Profit</a:t>
          </a:r>
        </a:p>
      </xdr:txBody>
    </xdr:sp>
    <xdr:clientData/>
  </xdr:twoCellAnchor>
  <xdr:twoCellAnchor>
    <xdr:from>
      <xdr:col>11</xdr:col>
      <xdr:colOff>533592</xdr:colOff>
      <xdr:row>16</xdr:row>
      <xdr:rowOff>16932</xdr:rowOff>
    </xdr:from>
    <xdr:to>
      <xdr:col>16</xdr:col>
      <xdr:colOff>240857</xdr:colOff>
      <xdr:row>20</xdr:row>
      <xdr:rowOff>37612</xdr:rowOff>
    </xdr:to>
    <xdr:sp macro="" textlink="">
      <xdr:nvSpPr>
        <xdr:cNvPr id="15367" name="Text Box 7">
          <a:extLst>
            <a:ext uri="{FF2B5EF4-FFF2-40B4-BE49-F238E27FC236}">
              <a16:creationId xmlns:a16="http://schemas.microsoft.com/office/drawing/2014/main" id="{8F99C5CB-A859-BAAD-DE0B-06F903588C4F}"/>
            </a:ext>
          </a:extLst>
        </xdr:cNvPr>
        <xdr:cNvSpPr txBox="1">
          <a:spLocks noChangeArrowheads="1"/>
        </xdr:cNvSpPr>
      </xdr:nvSpPr>
      <xdr:spPr bwMode="auto">
        <a:xfrm>
          <a:off x="9220392" y="3471332"/>
          <a:ext cx="3855932" cy="833480"/>
        </a:xfrm>
        <a:prstGeom prst="rect">
          <a:avLst/>
        </a:prstGeom>
        <a:solidFill>
          <a:schemeClr val="bg2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ctr" upright="1"/>
        <a:lstStyle/>
        <a:p>
          <a:pPr algn="ctr" rtl="0">
            <a:defRPr sz="1000"/>
          </a:pPr>
          <a:r>
            <a:rPr lang="en-GB" sz="4800" b="0" i="0" u="none" strike="noStrike" baseline="0">
              <a:solidFill>
                <a:srgbClr val="000000"/>
              </a:solidFill>
              <a:latin typeface="Aptos Narrow" pitchFamily="2" charset="0"/>
            </a:rPr>
            <a:t>₹1.21 Cr</a:t>
          </a:r>
        </a:p>
      </xdr:txBody>
    </xdr:sp>
    <xdr:clientData/>
  </xdr:twoCellAnchor>
  <xdr:twoCellAnchor>
    <xdr:from>
      <xdr:col>11</xdr:col>
      <xdr:colOff>479376</xdr:colOff>
      <xdr:row>9</xdr:row>
      <xdr:rowOff>143554</xdr:rowOff>
    </xdr:from>
    <xdr:to>
      <xdr:col>16</xdr:col>
      <xdr:colOff>416257</xdr:colOff>
      <xdr:row>14</xdr:row>
      <xdr:rowOff>35130</xdr:rowOff>
    </xdr:to>
    <xdr:sp macro="" textlink="">
      <xdr:nvSpPr>
        <xdr:cNvPr id="15368" name="Text Box 8">
          <a:extLst>
            <a:ext uri="{FF2B5EF4-FFF2-40B4-BE49-F238E27FC236}">
              <a16:creationId xmlns:a16="http://schemas.microsoft.com/office/drawing/2014/main" id="{37E3DAFB-6319-5730-C5C3-43838A5CE801}"/>
            </a:ext>
          </a:extLst>
        </xdr:cNvPr>
        <xdr:cNvSpPr txBox="1">
          <a:spLocks noChangeArrowheads="1"/>
        </xdr:cNvSpPr>
      </xdr:nvSpPr>
      <xdr:spPr bwMode="auto">
        <a:xfrm>
          <a:off x="9166176" y="2175554"/>
          <a:ext cx="4085548" cy="907576"/>
        </a:xfrm>
        <a:prstGeom prst="rect">
          <a:avLst/>
        </a:prstGeom>
        <a:solidFill>
          <a:schemeClr val="bg2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ctr" rtl="0">
            <a:defRPr sz="1000"/>
          </a:pPr>
          <a:r>
            <a:rPr lang="en-GB" sz="5400" b="0" i="0" u="none" strike="noStrike" baseline="0">
              <a:solidFill>
                <a:srgbClr val="000000"/>
              </a:solidFill>
              <a:latin typeface="Aptos Narrow" pitchFamily="2" charset="0"/>
            </a:rPr>
            <a:t>Total </a:t>
          </a:r>
          <a:r>
            <a:rPr lang="en-GB" sz="4800" b="0" i="0" u="none" strike="noStrike" baseline="0">
              <a:solidFill>
                <a:srgbClr val="000000"/>
              </a:solidFill>
              <a:latin typeface="Aptos Narrow" pitchFamily="2" charset="0"/>
            </a:rPr>
            <a:t>Expense</a:t>
          </a:r>
        </a:p>
      </xdr:txBody>
    </xdr:sp>
    <xdr:clientData/>
  </xdr:twoCellAnchor>
  <xdr:twoCellAnchor>
    <xdr:from>
      <xdr:col>16</xdr:col>
      <xdr:colOff>736221</xdr:colOff>
      <xdr:row>10</xdr:row>
      <xdr:rowOff>33868</xdr:rowOff>
    </xdr:from>
    <xdr:to>
      <xdr:col>21</xdr:col>
      <xdr:colOff>812043</xdr:colOff>
      <xdr:row>14</xdr:row>
      <xdr:rowOff>20220</xdr:rowOff>
    </xdr:to>
    <xdr:sp macro="" textlink="">
      <xdr:nvSpPr>
        <xdr:cNvPr id="15369" name="Text Box 9">
          <a:extLst>
            <a:ext uri="{FF2B5EF4-FFF2-40B4-BE49-F238E27FC236}">
              <a16:creationId xmlns:a16="http://schemas.microsoft.com/office/drawing/2014/main" id="{90F7F191-9B2D-BEBD-0251-B3BF13D76A13}"/>
            </a:ext>
          </a:extLst>
        </xdr:cNvPr>
        <xdr:cNvSpPr txBox="1">
          <a:spLocks noChangeArrowheads="1"/>
        </xdr:cNvSpPr>
      </xdr:nvSpPr>
      <xdr:spPr bwMode="auto">
        <a:xfrm>
          <a:off x="13571688" y="2269068"/>
          <a:ext cx="4224488" cy="799152"/>
        </a:xfrm>
        <a:prstGeom prst="rect">
          <a:avLst/>
        </a:prstGeom>
        <a:solidFill>
          <a:schemeClr val="bg2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ctr" upright="1"/>
        <a:lstStyle/>
        <a:p>
          <a:pPr algn="ctr" rtl="0">
            <a:defRPr sz="1000"/>
          </a:pPr>
          <a:r>
            <a:rPr lang="en-GB" sz="5400" b="0" i="0" u="none" strike="noStrike" baseline="0">
              <a:solidFill>
                <a:srgbClr val="000000"/>
              </a:solidFill>
              <a:latin typeface="Aptos Narrow" pitchFamily="2" charset="0"/>
            </a:rPr>
            <a:t>Profit </a:t>
          </a:r>
          <a:r>
            <a:rPr lang="en-GB" sz="4800" b="0" i="0" u="none" strike="noStrike" baseline="0">
              <a:solidFill>
                <a:srgbClr val="000000"/>
              </a:solidFill>
              <a:latin typeface="Aptos Narrow" pitchFamily="2" charset="0"/>
            </a:rPr>
            <a:t>Margin</a:t>
          </a:r>
          <a:r>
            <a:rPr lang="en-GB" sz="5400" b="0" i="0" u="none" strike="noStrike" baseline="0">
              <a:solidFill>
                <a:srgbClr val="000000"/>
              </a:solidFill>
              <a:latin typeface="Aptos Narrow" pitchFamily="2" charset="0"/>
            </a:rPr>
            <a:t> %</a:t>
          </a:r>
        </a:p>
      </xdr:txBody>
    </xdr:sp>
    <xdr:clientData/>
  </xdr:twoCellAnchor>
  <xdr:twoCellAnchor>
    <xdr:from>
      <xdr:col>17</xdr:col>
      <xdr:colOff>246417</xdr:colOff>
      <xdr:row>15</xdr:row>
      <xdr:rowOff>170597</xdr:rowOff>
    </xdr:from>
    <xdr:to>
      <xdr:col>21</xdr:col>
      <xdr:colOff>511791</xdr:colOff>
      <xdr:row>19</xdr:row>
      <xdr:rowOff>189552</xdr:rowOff>
    </xdr:to>
    <xdr:sp macro="" textlink="">
      <xdr:nvSpPr>
        <xdr:cNvPr id="15370" name="Text Box 10">
          <a:extLst>
            <a:ext uri="{FF2B5EF4-FFF2-40B4-BE49-F238E27FC236}">
              <a16:creationId xmlns:a16="http://schemas.microsoft.com/office/drawing/2014/main" id="{8AC60FA9-6AE3-191F-39EF-89757DC0592F}"/>
            </a:ext>
          </a:extLst>
        </xdr:cNvPr>
        <xdr:cNvSpPr txBox="1">
          <a:spLocks noChangeArrowheads="1"/>
        </xdr:cNvSpPr>
      </xdr:nvSpPr>
      <xdr:spPr bwMode="auto">
        <a:xfrm>
          <a:off x="13969999" y="3487761"/>
          <a:ext cx="3601493" cy="852985"/>
        </a:xfrm>
        <a:prstGeom prst="rect">
          <a:avLst/>
        </a:prstGeom>
        <a:solidFill>
          <a:schemeClr val="bg2"/>
        </a:solidFill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ctr" upright="1"/>
        <a:lstStyle/>
        <a:p>
          <a:pPr algn="ctr" rtl="0">
            <a:defRPr sz="1000"/>
          </a:pPr>
          <a:r>
            <a:rPr lang="en-GB" sz="4800" b="0" i="0" u="none" strike="noStrike" baseline="0">
              <a:solidFill>
                <a:srgbClr val="000000"/>
              </a:solidFill>
              <a:latin typeface="Aptos Narrow" pitchFamily="2" charset="0"/>
            </a:rPr>
            <a:t>88.28</a:t>
          </a:r>
          <a:r>
            <a:rPr lang="en-GB" sz="5400" b="0" i="0" u="none" strike="noStrike" baseline="0">
              <a:solidFill>
                <a:srgbClr val="000000"/>
              </a:solidFill>
              <a:latin typeface="Aptos Narrow" pitchFamily="2" charset="0"/>
            </a:rPr>
            <a:t>%</a:t>
          </a:r>
        </a:p>
      </xdr:txBody>
    </xdr:sp>
    <xdr:clientData/>
  </xdr:twoCellAnchor>
  <xdr:twoCellAnchor>
    <xdr:from>
      <xdr:col>0</xdr:col>
      <xdr:colOff>303282</xdr:colOff>
      <xdr:row>21</xdr:row>
      <xdr:rowOff>67733</xdr:rowOff>
    </xdr:from>
    <xdr:to>
      <xdr:col>22</xdr:col>
      <xdr:colOff>174314</xdr:colOff>
      <xdr:row>49</xdr:row>
      <xdr:rowOff>74706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BF241413-0ADD-F34A-956F-E5DDD0E60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472087</xdr:colOff>
      <xdr:row>49</xdr:row>
      <xdr:rowOff>47762</xdr:rowOff>
    </xdr:from>
    <xdr:to>
      <xdr:col>23</xdr:col>
      <xdr:colOff>228665</xdr:colOff>
      <xdr:row>76</xdr:row>
      <xdr:rowOff>4055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F13090D4-7F4F-6F4C-8653-46C125324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252193</xdr:colOff>
      <xdr:row>49</xdr:row>
      <xdr:rowOff>86224</xdr:rowOff>
    </xdr:from>
    <xdr:to>
      <xdr:col>13</xdr:col>
      <xdr:colOff>340004</xdr:colOff>
      <xdr:row>75</xdr:row>
      <xdr:rowOff>134352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48C7455E-18A0-B04D-9E1B-9DEF64E15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379669</xdr:colOff>
      <xdr:row>76</xdr:row>
      <xdr:rowOff>18263</xdr:rowOff>
    </xdr:from>
    <xdr:to>
      <xdr:col>12</xdr:col>
      <xdr:colOff>344668</xdr:colOff>
      <xdr:row>99</xdr:row>
      <xdr:rowOff>91417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49146170-3F92-E94E-81C0-04074AA43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shan Padia" refreshedDate="46076.474390509262" createdVersion="8" refreshedVersion="8" minRefreshableVersion="3" recordCount="500" xr:uid="{30767DB0-455A-624B-BACC-86C39DB21F6A}">
  <cacheSource type="worksheet">
    <worksheetSource name="Table2"/>
  </cacheSource>
  <cacheFields count="14">
    <cacheField name="Transaction_ID" numFmtId="0">
      <sharedItems count="500">
        <s v="TXN-1087"/>
        <s v="TXN-1278"/>
        <s v="TXN-1360"/>
        <s v="TXN-1450"/>
        <s v="TXN-1176"/>
        <s v="TXN-1461"/>
        <s v="TXN-1132"/>
        <s v="TXN-1368"/>
        <s v="TXN-1206"/>
        <s v="TXN-1066"/>
        <s v="TXN-1127"/>
        <s v="TXN-1184"/>
        <s v="TXN-1454"/>
        <s v="TXN-1485"/>
        <s v="TXN-1007"/>
        <s v="TXN-1059"/>
        <s v="TXN-1034"/>
        <s v="TXN-1427"/>
        <s v="TXN-1437"/>
        <s v="TXN-1151"/>
        <s v="TXN-1220"/>
        <s v="TXN-1204"/>
        <s v="TXN-1157"/>
        <s v="TXN-1420"/>
        <s v="TXN-1080"/>
        <s v="TXN-1168"/>
        <s v="TXN-1451"/>
        <s v="TXN-1205"/>
        <s v="TXN-1366"/>
        <s v="TXN-1465"/>
        <s v="TXN-1430"/>
        <s v="TXN-1338"/>
        <s v="TXN-1125"/>
        <s v="TXN-1150"/>
        <s v="TXN-1186"/>
        <s v="TXN-1097"/>
        <s v="TXN-1222"/>
        <s v="TXN-1215"/>
        <s v="TXN-1459"/>
        <s v="TXN-1158"/>
        <s v="TXN-1038"/>
        <s v="TXN-1453"/>
        <s v="TXN-1084"/>
        <s v="TXN-1050"/>
        <s v="TXN-1433"/>
        <s v="TXN-1194"/>
        <s v="TXN-1266"/>
        <s v="TXN-1070"/>
        <s v="TXN-1117"/>
        <s v="TXN-1290"/>
        <s v="TXN-1089"/>
        <s v="TXN-1281"/>
        <s v="TXN-1377"/>
        <s v="TXN-1489"/>
        <s v="TXN-1052"/>
        <s v="TXN-1490"/>
        <s v="TXN-1040"/>
        <s v="TXN-1358"/>
        <s v="TXN-1160"/>
        <s v="TXN-1216"/>
        <s v="TXN-1138"/>
        <s v="TXN-1190"/>
        <s v="TXN-1129"/>
        <s v="TXN-1213"/>
        <s v="TXN-1408"/>
        <s v="TXN-1005"/>
        <s v="TXN-1382"/>
        <s v="TXN-1082"/>
        <s v="TXN-1141"/>
        <s v="TXN-1275"/>
        <s v="TXN-1211"/>
        <s v="TXN-1014"/>
        <s v="TXN-1064"/>
        <s v="TXN-1073"/>
        <s v="TXN-1471"/>
        <s v="TXN-1195"/>
        <s v="TXN-1258"/>
        <s v="TXN-1314"/>
        <s v="TXN-1441"/>
        <s v="TXN-1308"/>
        <s v="TXN-1163"/>
        <s v="TXN-1351"/>
        <s v="TXN-1370"/>
        <s v="TXN-1393"/>
        <s v="TXN-1462"/>
        <s v="TXN-1472"/>
        <s v="TXN-1016"/>
        <s v="TXN-1171"/>
        <s v="TXN-1272"/>
        <s v="TXN-1000"/>
        <s v="TXN-1008"/>
        <s v="TXN-1387"/>
        <s v="TXN-1090"/>
        <s v="TXN-1004"/>
        <s v="TXN-1221"/>
        <s v="TXN-1356"/>
        <s v="TXN-1391"/>
        <s v="TXN-1262"/>
        <s v="TXN-1271"/>
        <s v="TXN-1273"/>
        <s v="TXN-1277"/>
        <s v="TXN-1383"/>
        <s v="TXN-1495"/>
        <s v="TXN-1238"/>
        <s v="TXN-1381"/>
        <s v="TXN-1475"/>
        <s v="TXN-1378"/>
        <s v="TXN-1237"/>
        <s v="TXN-1009"/>
        <s v="TXN-1301"/>
        <s v="TXN-1316"/>
        <s v="TXN-1288"/>
        <s v="TXN-1227"/>
        <s v="TXN-1337"/>
        <s v="TXN-1419"/>
        <s v="TXN-1484"/>
        <s v="TXN-1134"/>
        <s v="TXN-1341"/>
        <s v="TXN-1279"/>
        <s v="TXN-1289"/>
        <s v="TXN-1019"/>
        <s v="TXN-1055"/>
        <s v="TXN-1174"/>
        <s v="TXN-1374"/>
        <s v="TXN-1218"/>
        <s v="TXN-1058"/>
        <s v="TXN-1152"/>
        <s v="TXN-1416"/>
        <s v="TXN-1136"/>
        <s v="TXN-1246"/>
        <s v="TXN-1139"/>
        <s v="TXN-1364"/>
        <s v="TXN-1202"/>
        <s v="TXN-1313"/>
        <s v="TXN-1354"/>
        <s v="TXN-1329"/>
        <s v="TXN-1371"/>
        <s v="TXN-1449"/>
        <s v="TXN-1322"/>
        <s v="TXN-1330"/>
        <s v="TXN-1020"/>
        <s v="TXN-1347"/>
        <s v="TXN-1499"/>
        <s v="TXN-1018"/>
        <s v="TXN-1253"/>
        <s v="TXN-1376"/>
        <s v="TXN-1394"/>
        <s v="TXN-1126"/>
        <s v="TXN-1429"/>
        <s v="TXN-1457"/>
        <s v="TXN-1207"/>
        <s v="TXN-1257"/>
        <s v="TXN-1293"/>
        <s v="TXN-1367"/>
        <s v="TXN-1031"/>
        <s v="TXN-1379"/>
        <s v="TXN-1407"/>
        <s v="TXN-1481"/>
        <s v="TXN-1098"/>
        <s v="TXN-1143"/>
        <s v="TXN-1402"/>
        <s v="TXN-1248"/>
        <s v="TXN-1061"/>
        <s v="TXN-1405"/>
        <s v="TXN-1041"/>
        <s v="TXN-1214"/>
        <s v="TXN-1203"/>
        <s v="TXN-1164"/>
        <s v="TXN-1252"/>
        <s v="TXN-1291"/>
        <s v="TXN-1455"/>
        <s v="TXN-1493"/>
        <s v="TXN-1048"/>
        <s v="TXN-1421"/>
        <s v="TXN-1189"/>
        <s v="TXN-1261"/>
        <s v="TXN-1470"/>
        <s v="TXN-1300"/>
        <s v="TXN-1209"/>
        <s v="TXN-1276"/>
        <s v="TXN-1317"/>
        <s v="TXN-1043"/>
        <s v="TXN-1122"/>
        <s v="TXN-1473"/>
        <s v="TXN-1006"/>
        <s v="TXN-1046"/>
        <s v="TXN-1110"/>
        <s v="TXN-1231"/>
        <s v="TXN-1094"/>
        <s v="TXN-1476"/>
        <s v="TXN-1028"/>
        <s v="TXN-1452"/>
        <s v="TXN-1400"/>
        <s v="TXN-1417"/>
        <s v="TXN-1243"/>
        <s v="TXN-1294"/>
        <s v="TXN-1309"/>
        <s v="TXN-1332"/>
        <s v="TXN-1153"/>
        <s v="TXN-1315"/>
        <s v="TXN-1099"/>
        <s v="TXN-1299"/>
        <s v="TXN-1081"/>
        <s v="TXN-1183"/>
        <s v="TXN-1113"/>
        <s v="TXN-1373"/>
        <s v="TXN-1403"/>
        <s v="TXN-1112"/>
        <s v="TXN-1166"/>
        <s v="TXN-1011"/>
        <s v="TXN-1108"/>
        <s v="TXN-1161"/>
        <s v="TXN-1120"/>
        <s v="TXN-1096"/>
        <s v="TXN-1177"/>
        <s v="TXN-1292"/>
        <s v="TXN-1280"/>
        <s v="TXN-1456"/>
        <s v="TXN-1197"/>
        <s v="TXN-1488"/>
        <s v="TXN-1284"/>
        <s v="TXN-1232"/>
        <s v="TXN-1249"/>
        <s v="TXN-1285"/>
        <s v="TXN-1438"/>
        <s v="TXN-1170"/>
        <s v="TXN-1390"/>
        <s v="TXN-1431"/>
        <s v="TXN-1149"/>
        <s v="TXN-1192"/>
        <s v="TXN-1200"/>
        <s v="TXN-1230"/>
        <s v="TXN-1240"/>
        <s v="TXN-1260"/>
        <s v="TXN-1369"/>
        <s v="TXN-1464"/>
        <s v="TXN-1251"/>
        <s v="TXN-1036"/>
        <s v="TXN-1114"/>
        <s v="TXN-1201"/>
        <s v="TXN-1428"/>
        <s v="TXN-1312"/>
        <s v="TXN-1193"/>
        <s v="TXN-1067"/>
        <s v="TXN-1210"/>
        <s v="TXN-1053"/>
        <s v="TXN-1296"/>
        <s v="TXN-1109"/>
        <s v="TXN-1121"/>
        <s v="TXN-1323"/>
        <s v="TXN-1353"/>
        <s v="TXN-1035"/>
        <s v="TXN-1477"/>
        <s v="TXN-1363"/>
        <s v="TXN-1389"/>
        <s v="TXN-1178"/>
        <s v="TXN-1303"/>
        <s v="TXN-1482"/>
        <s v="TXN-1175"/>
        <s v="TXN-1022"/>
        <s v="TXN-1241"/>
        <s v="TXN-1321"/>
        <s v="TXN-1091"/>
        <s v="TXN-1147"/>
        <s v="TXN-1352"/>
        <s v="TXN-1078"/>
        <s v="TXN-1435"/>
        <s v="TXN-1068"/>
        <s v="TXN-1342"/>
        <s v="TXN-1155"/>
        <s v="TXN-1267"/>
        <s v="TXN-1102"/>
        <s v="TXN-1003"/>
        <s v="TXN-1045"/>
        <s v="TXN-1105"/>
        <s v="TXN-1062"/>
        <s v="TXN-1030"/>
        <s v="TXN-1411"/>
        <s v="TXN-1439"/>
        <s v="TXN-1118"/>
        <s v="TXN-1305"/>
        <s v="TXN-1466"/>
        <s v="TXN-1494"/>
        <s v="TXN-1486"/>
        <s v="TXN-1181"/>
        <s v="TXN-1235"/>
        <s v="TXN-1436"/>
        <s v="TXN-1212"/>
        <s v="TXN-1219"/>
        <s v="TXN-1442"/>
        <s v="TXN-1224"/>
        <s v="TXN-1440"/>
        <s v="TXN-1496"/>
        <s v="TXN-1145"/>
        <s v="TXN-1409"/>
        <s v="TXN-1162"/>
        <s v="TXN-1026"/>
        <s v="TXN-1304"/>
        <s v="TXN-1268"/>
        <s v="TXN-1111"/>
        <s v="TXN-1350"/>
        <s v="TXN-1128"/>
        <s v="TXN-1469"/>
        <s v="TXN-1104"/>
        <s v="TXN-1362"/>
        <s v="TXN-1372"/>
        <s v="TXN-1412"/>
        <s v="TXN-1448"/>
        <s v="TXN-1057"/>
        <s v="TXN-1250"/>
        <s v="TXN-1333"/>
        <s v="TXN-1021"/>
        <s v="TXN-1092"/>
        <s v="TXN-1401"/>
        <s v="TXN-1033"/>
        <s v="TXN-1255"/>
        <s v="TXN-1065"/>
        <s v="TXN-1447"/>
        <s v="TXN-1247"/>
        <s v="TXN-1263"/>
        <s v="TXN-1054"/>
        <s v="TXN-1483"/>
        <s v="TXN-1491"/>
        <s v="TXN-1297"/>
        <s v="TXN-1306"/>
        <s v="TXN-1318"/>
        <s v="TXN-1131"/>
        <s v="TXN-1208"/>
        <s v="TXN-1154"/>
        <s v="TXN-1060"/>
        <s v="TXN-1012"/>
        <s v="TXN-1226"/>
        <s v="TXN-1115"/>
        <s v="TXN-1339"/>
        <s v="TXN-1399"/>
        <s v="TXN-1072"/>
        <s v="TXN-1223"/>
        <s v="TXN-1388"/>
        <s v="TXN-1498"/>
        <s v="TXN-1282"/>
        <s v="TXN-1023"/>
        <s v="TXN-1133"/>
        <s v="TXN-1037"/>
        <s v="TXN-1130"/>
        <s v="TXN-1069"/>
        <s v="TXN-1185"/>
        <s v="TXN-1327"/>
        <s v="TXN-1355"/>
        <s v="TXN-1228"/>
        <s v="TXN-1002"/>
        <s v="TXN-1320"/>
        <s v="TXN-1395"/>
        <s v="TXN-1467"/>
        <s v="TXN-1103"/>
        <s v="TXN-1191"/>
        <s v="TXN-1331"/>
        <s v="TXN-1180"/>
        <s v="TXN-1242"/>
        <s v="TXN-1017"/>
        <s v="TXN-1085"/>
        <s v="TXN-1165"/>
        <s v="TXN-1340"/>
        <s v="TXN-1492"/>
        <s v="TXN-1051"/>
        <s v="TXN-1432"/>
        <s v="TXN-1398"/>
        <s v="TXN-1074"/>
        <s v="TXN-1116"/>
        <s v="TXN-1443"/>
        <s v="TXN-1359"/>
        <s v="TXN-1424"/>
        <s v="TXN-1307"/>
        <s v="TXN-1015"/>
        <s v="TXN-1460"/>
        <s v="TXN-1256"/>
        <s v="TXN-1426"/>
        <s v="TXN-1234"/>
        <s v="TXN-1146"/>
        <s v="TXN-1123"/>
        <s v="TXN-1187"/>
        <s v="TXN-1463"/>
        <s v="TXN-1397"/>
        <s v="TXN-1414"/>
        <s v="TXN-1233"/>
        <s v="TXN-1286"/>
        <s v="TXN-1361"/>
        <s v="TXN-1027"/>
        <s v="TXN-1071"/>
        <s v="TXN-1269"/>
        <s v="TXN-1270"/>
        <s v="TXN-1063"/>
        <s v="TXN-1086"/>
        <s v="TXN-1196"/>
        <s v="TXN-1088"/>
        <s v="TXN-1142"/>
        <s v="TXN-1415"/>
        <s v="TXN-1182"/>
        <s v="TXN-1311"/>
        <s v="TXN-1179"/>
        <s v="TXN-1410"/>
        <s v="TXN-1302"/>
        <s v="TXN-1418"/>
        <s v="TXN-1095"/>
        <s v="TXN-1396"/>
        <s v="TXN-1287"/>
        <s v="TXN-1326"/>
        <s v="TXN-1375"/>
        <s v="TXN-1413"/>
        <s v="TXN-1159"/>
        <s v="TXN-1199"/>
        <s v="TXN-1380"/>
        <s v="TXN-1119"/>
        <s v="TXN-1245"/>
        <s v="TXN-1025"/>
        <s v="TXN-1348"/>
        <s v="TXN-1295"/>
        <s v="TXN-1479"/>
        <s v="TXN-1335"/>
        <s v="TXN-1156"/>
        <s v="TXN-1144"/>
        <s v="TXN-1083"/>
        <s v="TXN-1325"/>
        <s v="TXN-1385"/>
        <s v="TXN-1386"/>
        <s v="TXN-1336"/>
        <s v="TXN-1077"/>
        <s v="TXN-1079"/>
        <s v="TXN-1172"/>
        <s v="TXN-1497"/>
        <s v="TXN-1346"/>
        <s v="TXN-1001"/>
        <s v="TXN-1434"/>
        <s v="TXN-1298"/>
        <s v="TXN-1274"/>
        <s v="TXN-1217"/>
        <s v="TXN-1344"/>
        <s v="TXN-1265"/>
        <s v="TXN-1324"/>
        <s v="TXN-1423"/>
        <s v="TXN-1029"/>
        <s v="TXN-1075"/>
        <s v="TXN-1404"/>
        <s v="TXN-1047"/>
        <s v="TXN-1049"/>
        <s v="TXN-1100"/>
        <s v="TXN-1225"/>
        <s v="TXN-1236"/>
        <s v="TXN-1444"/>
        <s v="TXN-1169"/>
        <s v="TXN-1328"/>
        <s v="TXN-1365"/>
        <s v="TXN-1446"/>
        <s v="TXN-1076"/>
        <s v="TXN-1106"/>
        <s v="TXN-1244"/>
        <s v="TXN-1384"/>
        <s v="TXN-1013"/>
        <s v="TXN-1032"/>
        <s v="TXN-1422"/>
        <s v="TXN-1188"/>
        <s v="TXN-1239"/>
        <s v="TXN-1107"/>
        <s v="TXN-1173"/>
        <s v="TXN-1254"/>
        <s v="TXN-1044"/>
        <s v="TXN-1319"/>
        <s v="TXN-1010"/>
        <s v="TXN-1478"/>
        <s v="TXN-1310"/>
        <s v="TXN-1425"/>
        <s v="TXN-1480"/>
        <s v="TXN-1137"/>
        <s v="TXN-1259"/>
        <s v="TXN-1229"/>
        <s v="TXN-1345"/>
        <s v="TXN-1392"/>
        <s v="TXN-1039"/>
        <s v="TXN-1167"/>
        <s v="TXN-1042"/>
        <s v="TXN-1343"/>
        <s v="TXN-1093"/>
        <s v="TXN-1458"/>
        <s v="TXN-1349"/>
        <s v="TXN-1445"/>
        <s v="TXN-1474"/>
        <s v="TXN-1101"/>
        <s v="TXN-1406"/>
        <s v="TXN-1056"/>
        <s v="TXN-1198"/>
        <s v="TXN-1283"/>
        <s v="TXN-1334"/>
        <s v="TXN-1148"/>
        <s v="TXN-1487"/>
        <s v="TXN-1024"/>
        <s v="TXN-1135"/>
        <s v="TXN-1124"/>
        <s v="TXN-1264"/>
        <s v="TXN-1468"/>
        <s v="TXN-1140"/>
        <s v="TXN-1357"/>
      </sharedItems>
    </cacheField>
    <cacheField name="Date" numFmtId="14">
      <sharedItems containsSemiMixedTypes="0" containsNonDate="0" containsDate="1" containsString="0" minDate="2024-01-02T00:00:00" maxDate="2025-05-15T00:00:00" count="300">
        <d v="2024-01-02T00:00:00"/>
        <d v="2024-01-04T00:00:00"/>
        <d v="2024-01-05T00:00:00"/>
        <d v="2024-01-06T00:00:00"/>
        <d v="2024-01-09T00:00:00"/>
        <d v="2024-01-13T00:00:00"/>
        <d v="2024-01-14T00:00:00"/>
        <d v="2024-01-15T00:00:00"/>
        <d v="2024-01-17T00:00:00"/>
        <d v="2024-01-18T00:00:00"/>
        <d v="2024-01-21T00:00:00"/>
        <d v="2024-01-22T00:00:00"/>
        <d v="2024-01-27T00:00:00"/>
        <d v="2024-01-28T00:00:00"/>
        <d v="2024-01-29T00:00:00"/>
        <d v="2024-02-02T00:00:00"/>
        <d v="2024-02-04T00:00:00"/>
        <d v="2024-02-05T00:00:00"/>
        <d v="2024-02-06T00:00:00"/>
        <d v="2024-02-07T00:00:00"/>
        <d v="2024-02-08T00:00:00"/>
        <d v="2024-02-10T00:00:00"/>
        <d v="2024-02-11T00:00:00"/>
        <d v="2024-02-13T00:00:00"/>
        <d v="2024-02-14T00:00:00"/>
        <d v="2024-02-15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7T00:00:00"/>
        <d v="2024-02-28T00:00:00"/>
        <d v="2024-02-29T00:00:00"/>
        <d v="2024-03-02T00:00:00"/>
        <d v="2024-03-03T00:00:00"/>
        <d v="2024-03-05T00:00:00"/>
        <d v="2024-03-06T00:00:00"/>
        <d v="2024-03-08T00:00:00"/>
        <d v="2024-03-12T00:00:00"/>
        <d v="2024-03-15T00:00:00"/>
        <d v="2024-03-21T00:00:00"/>
        <d v="2024-03-26T00:00:00"/>
        <d v="2024-03-28T00:00:00"/>
        <d v="2024-03-29T00:00:00"/>
        <d v="2024-04-01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2T00:00:00"/>
        <d v="2024-04-13T00:00:00"/>
        <d v="2024-04-15T00:00:00"/>
        <d v="2024-04-16T00:00:00"/>
        <d v="2024-04-17T00:00:00"/>
        <d v="2024-04-21T00:00:00"/>
        <d v="2024-04-22T00:00:00"/>
        <d v="2024-04-23T00:00:00"/>
        <d v="2024-04-25T00:00:00"/>
        <d v="2024-04-29T00:00:00"/>
        <d v="2024-04-30T00:00:00"/>
        <d v="2024-05-01T00:00:00"/>
        <d v="2024-05-02T00:00:00"/>
        <d v="2024-05-03T00:00:00"/>
        <d v="2024-05-05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8T00:00:00"/>
        <d v="2024-05-19T00:00:00"/>
        <d v="2024-05-22T00:00:00"/>
        <d v="2024-05-23T00:00:00"/>
        <d v="2024-05-26T00:00:00"/>
        <d v="2024-05-27T00:00:00"/>
        <d v="2024-05-29T00:00:00"/>
        <d v="2024-05-30T00:00:00"/>
        <d v="2024-05-31T00:00:00"/>
        <d v="2024-06-01T00:00:00"/>
        <d v="2024-06-05T00:00:00"/>
        <d v="2024-06-06T00:00:00"/>
        <d v="2024-06-08T00:00:00"/>
        <d v="2024-06-09T00:00:00"/>
        <d v="2024-06-10T00:00:00"/>
        <d v="2024-06-11T00:00:00"/>
        <d v="2024-06-13T00:00:00"/>
        <d v="2024-06-15T00:00:00"/>
        <d v="2024-06-17T00:00:00"/>
        <d v="2024-06-18T00:00:00"/>
        <d v="2024-06-19T00:00:00"/>
        <d v="2024-06-20T00:00:00"/>
        <d v="2024-06-22T00:00:00"/>
        <d v="2024-06-23T00:00:00"/>
        <d v="2024-06-24T00:00:00"/>
        <d v="2024-06-27T00:00:00"/>
        <d v="2024-06-28T00:00:00"/>
        <d v="2024-06-29T00:00:00"/>
        <d v="2024-07-02T00:00:00"/>
        <d v="2024-07-05T00:00:00"/>
        <d v="2024-07-06T00:00:00"/>
        <d v="2024-07-07T00:00:00"/>
        <d v="2024-07-08T00:00:00"/>
        <d v="2024-07-09T00:00:00"/>
        <d v="2024-07-10T00:00:00"/>
        <d v="2024-07-12T00:00:00"/>
        <d v="2024-07-13T00:00:00"/>
        <d v="2024-07-16T00:00:00"/>
        <d v="2024-07-17T00:00:00"/>
        <d v="2024-07-19T00:00:00"/>
        <d v="2024-07-20T00:00:00"/>
        <d v="2024-07-21T00:00:00"/>
        <d v="2024-07-24T00:00:00"/>
        <d v="2024-07-25T00:00:00"/>
        <d v="2024-07-26T00:00:00"/>
        <d v="2024-07-31T00:00:00"/>
        <d v="2024-08-01T00:00:00"/>
        <d v="2024-08-02T00:00:00"/>
        <d v="2024-08-03T00:00:00"/>
        <d v="2024-08-04T00:00:00"/>
        <d v="2024-08-05T00:00:00"/>
        <d v="2024-08-07T00:00:00"/>
        <d v="2024-08-09T00:00:00"/>
        <d v="2024-08-10T00:00:00"/>
        <d v="2024-08-11T00:00:00"/>
        <d v="2024-08-12T00:00:00"/>
        <d v="2024-08-13T00:00:00"/>
        <d v="2024-08-14T00:00:00"/>
        <d v="2024-08-17T00:00:00"/>
        <d v="2024-08-18T00:00:00"/>
        <d v="2024-08-20T00:00:00"/>
        <d v="2024-08-21T00:00:00"/>
        <d v="2024-08-23T00:00:00"/>
        <d v="2024-08-24T00:00:00"/>
        <d v="2024-08-25T00:00:00"/>
        <d v="2024-08-27T00:00:00"/>
        <d v="2024-08-28T00:00:00"/>
        <d v="2024-08-29T00:00:00"/>
        <d v="2024-08-30T00:00:00"/>
        <d v="2024-08-31T00:00:00"/>
        <d v="2024-09-03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9T00:00:00"/>
        <d v="2024-09-20T00:00:00"/>
        <d v="2024-09-21T00:00:00"/>
        <d v="2024-09-23T00:00:00"/>
        <d v="2024-09-24T00:00:00"/>
        <d v="2024-09-26T00:00:00"/>
        <d v="2024-09-27T00:00:00"/>
        <d v="2024-09-30T00:00:00"/>
        <d v="2024-10-03T00:00:00"/>
        <d v="2024-10-06T00:00:00"/>
        <d v="2024-10-07T00:00:00"/>
        <d v="2024-10-09T00:00:00"/>
        <d v="2024-10-10T00:00:00"/>
        <d v="2024-10-12T00:00:00"/>
        <d v="2024-10-14T00:00:00"/>
        <d v="2024-10-15T00:00:00"/>
        <d v="2024-10-19T00:00:00"/>
        <d v="2024-10-20T00:00:00"/>
        <d v="2024-10-21T00:00:00"/>
        <d v="2024-10-22T00:00:00"/>
        <d v="2024-10-24T00:00:00"/>
        <d v="2024-10-27T00:00:00"/>
        <d v="2024-10-28T00:00:00"/>
        <d v="2024-10-30T00:00:00"/>
        <d v="2024-11-02T00:00:00"/>
        <d v="2024-11-03T00:00:00"/>
        <d v="2024-11-04T00:00:00"/>
        <d v="2024-11-05T00:00:00"/>
        <d v="2024-11-09T00:00:00"/>
        <d v="2024-11-10T00:00:00"/>
        <d v="2024-11-11T00:00:00"/>
        <d v="2024-11-12T00:00:00"/>
        <d v="2024-11-13T00:00:00"/>
        <d v="2024-11-15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6T00:00:00"/>
        <d v="2024-12-03T00:00:00"/>
        <d v="2024-12-05T00:00:00"/>
        <d v="2024-12-07T00:00:00"/>
        <d v="2024-12-08T00:00:00"/>
        <d v="2024-12-09T00:00:00"/>
        <d v="2024-12-10T00:00:00"/>
        <d v="2024-12-11T00:00:00"/>
        <d v="2024-12-13T00:00:00"/>
        <d v="2024-12-14T00:00:00"/>
        <d v="2024-12-16T00:00:00"/>
        <d v="2024-12-17T00:00:00"/>
        <d v="2024-12-24T00:00:00"/>
        <d v="2024-12-25T00:00:00"/>
        <d v="2024-12-29T00:00:00"/>
        <d v="2024-12-30T00:00:00"/>
        <d v="2024-12-31T00:00:00"/>
        <d v="2025-01-01T00:00:00"/>
        <d v="2025-01-03T00:00:00"/>
        <d v="2025-01-05T00:00:00"/>
        <d v="2025-01-06T00:00:00"/>
        <d v="2025-01-07T00:00:00"/>
        <d v="2025-01-08T00:00:00"/>
        <d v="2025-01-09T00:00:00"/>
        <d v="2025-01-11T00:00:00"/>
        <d v="2025-01-13T00:00:00"/>
        <d v="2025-01-14T00:00:00"/>
        <d v="2025-01-18T00:00:00"/>
        <d v="2025-01-19T00:00:00"/>
        <d v="2025-01-20T00:00:00"/>
        <d v="2025-01-21T00:00:00"/>
        <d v="2025-01-22T00:00:00"/>
        <d v="2025-01-24T00:00:00"/>
        <d v="2025-01-26T00:00:00"/>
        <d v="2025-01-27T00:00:00"/>
        <d v="2025-01-29T00:00:00"/>
        <d v="2025-02-01T00:00:00"/>
        <d v="2025-02-04T00:00:00"/>
        <d v="2025-02-05T00:00:00"/>
        <d v="2025-02-06T00:00:00"/>
        <d v="2025-02-07T00:00:00"/>
        <d v="2025-02-10T00:00:00"/>
        <d v="2025-02-11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3-03T00:00:00"/>
        <d v="2025-03-06T00:00:00"/>
        <d v="2025-03-09T00:00:00"/>
        <d v="2025-03-11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3T00:00:00"/>
        <d v="2025-03-24T00:00:00"/>
        <d v="2025-03-26T00:00:00"/>
        <d v="2025-03-28T00:00:00"/>
        <d v="2025-03-30T00:00:00"/>
        <d v="2025-03-31T00:00:00"/>
        <d v="2025-04-03T00:00:00"/>
        <d v="2025-04-04T00:00:00"/>
        <d v="2025-04-05T00:00:00"/>
        <d v="2025-04-06T00:00:00"/>
        <d v="2025-04-07T00:00:00"/>
        <d v="2025-04-08T00:00:00"/>
        <d v="2025-04-11T00:00:00"/>
        <d v="2025-04-13T00:00:00"/>
        <d v="2025-04-14T00:00:00"/>
        <d v="2025-04-15T00:00:00"/>
        <d v="2025-04-16T00:00:00"/>
        <d v="2025-04-17T00:00:00"/>
        <d v="2025-04-19T00:00:00"/>
        <d v="2025-04-20T00:00:00"/>
        <d v="2025-04-21T00:00:00"/>
        <d v="2025-04-22T00:00:00"/>
        <d v="2025-04-25T00:00:00"/>
        <d v="2025-04-28T00:00:00"/>
        <d v="2025-04-29T00:00:00"/>
        <d v="2025-05-03T00:00:00"/>
        <d v="2025-05-04T00:00:00"/>
        <d v="2025-05-06T00:00:00"/>
        <d v="2025-05-07T00:00:00"/>
        <d v="2025-05-11T00:00:00"/>
        <d v="2025-05-13T00:00:00"/>
        <d v="2025-05-14T00:00:00"/>
      </sharedItems>
      <fieldGroup par="13"/>
    </cacheField>
    <cacheField name="Month" numFmtId="14">
      <sharedItems count="17">
        <s v="Jan-2024"/>
        <s v="Feb-2024"/>
        <s v="Mar-2024"/>
        <s v="Apr-2024"/>
        <s v="May-2024"/>
        <s v="Jun-2024"/>
        <s v="Jul-2024"/>
        <s v="Aug-2024"/>
        <s v="Sep-2024"/>
        <s v="Oct-2024"/>
        <s v="Nov-2024"/>
        <s v="Dec-2024"/>
        <s v="Jan-2025"/>
        <s v="Feb-2025"/>
        <s v="Mar-2025"/>
        <s v="Apr-2025"/>
        <s v="May-2025"/>
      </sharedItems>
    </cacheField>
    <cacheField name="Department" numFmtId="0">
      <sharedItems count="6">
        <s v="Sales"/>
        <s v="HR"/>
        <s v="Operations"/>
        <s v="IT"/>
        <s v="Finance"/>
        <s v="Marketing"/>
      </sharedItems>
    </cacheField>
    <cacheField name="Product" numFmtId="0">
      <sharedItems count="5">
        <s v="Laptop"/>
        <s v="Phone"/>
        <s v="Service"/>
        <s v="Tablet"/>
        <s v="Software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7">
      <sharedItems containsSemiMixedTypes="0" containsString="0" containsNumber="1" containsInteger="1" minValue="663" maxValue="79864"/>
    </cacheField>
    <cacheField name="Expense" numFmtId="7">
      <sharedItems containsSemiMixedTypes="0" containsString="0" containsNumber="1" containsInteger="1" minValue="1097" maxValue="49998"/>
    </cacheField>
    <cacheField name="Payment_Mode" numFmtId="0">
      <sharedItems count="4">
        <s v="Bank Transfer"/>
        <s v="Cash"/>
        <s v="Credit Card"/>
        <s v="UPI"/>
      </sharedItems>
    </cacheField>
    <cacheField name="Revenue" numFmtId="7">
      <sharedItems containsSemiMixedTypes="0" containsString="0" containsNumber="1" containsInteger="1" minValue="2828" maxValue="708498"/>
    </cacheField>
    <cacheField name="Profit" numFmtId="7">
      <sharedItems containsSemiMixedTypes="0" containsString="0" containsNumber="1" containsInteger="1" minValue="-33525" maxValue="700910" count="500">
        <n v="91739"/>
        <n v="17083"/>
        <n v="19910"/>
        <n v="13964"/>
        <n v="582033"/>
        <n v="32155"/>
        <n v="-353"/>
        <n v="1397"/>
        <n v="95777"/>
        <n v="31268"/>
        <n v="121125"/>
        <n v="296874"/>
        <n v="342845"/>
        <n v="422030"/>
        <n v="206922"/>
        <n v="371359"/>
        <n v="420760"/>
        <n v="13799"/>
        <n v="248584"/>
        <n v="307611"/>
        <n v="354066"/>
        <n v="405989"/>
        <n v="32100"/>
        <n v="3837"/>
        <n v="150411"/>
        <n v="292452"/>
        <n v="71090"/>
        <n v="373691"/>
        <n v="270935"/>
        <n v="282677"/>
        <n v="10963"/>
        <n v="81934"/>
        <n v="78157"/>
        <n v="277041"/>
        <n v="182952"/>
        <n v="120490"/>
        <n v="117526"/>
        <n v="102943"/>
        <n v="45410"/>
        <n v="81806"/>
        <n v="-3243"/>
        <n v="29271"/>
        <n v="358123"/>
        <n v="176805"/>
        <n v="262448"/>
        <n v="134095"/>
        <n v="444887"/>
        <n v="166976"/>
        <n v="52832"/>
        <n v="-201"/>
        <n v="30947"/>
        <n v="209636"/>
        <n v="54987"/>
        <n v="575780"/>
        <n v="473535"/>
        <n v="68916"/>
        <n v="-18993"/>
        <n v="157500"/>
        <n v="345798"/>
        <n v="30930"/>
        <n v="585111"/>
        <n v="5671"/>
        <n v="197810"/>
        <n v="118150"/>
        <n v="32098"/>
        <n v="53053"/>
        <n v="286091"/>
        <n v="-15299"/>
        <n v="288583"/>
        <n v="572402"/>
        <n v="-7607"/>
        <n v="121098"/>
        <n v="357484"/>
        <n v="371308"/>
        <n v="179911"/>
        <n v="27544"/>
        <n v="55039"/>
        <n v="92646"/>
        <n v="139961"/>
        <n v="348276"/>
        <n v="12409"/>
        <n v="480412"/>
        <n v="104863"/>
        <n v="-4823"/>
        <n v="482153"/>
        <n v="74994"/>
        <n v="169650"/>
        <n v="595799"/>
        <n v="14883"/>
        <n v="122028"/>
        <n v="17465"/>
        <n v="135422"/>
        <n v="10956"/>
        <n v="97626"/>
        <n v="48769"/>
        <n v="5392"/>
        <n v="122337"/>
        <n v="577024"/>
        <n v="230623"/>
        <n v="204614"/>
        <n v="39982"/>
        <n v="71512"/>
        <n v="49201"/>
        <n v="356940"/>
        <n v="81757"/>
        <n v="108031"/>
        <n v="203686"/>
        <n v="305286"/>
        <n v="-11981"/>
        <n v="167324"/>
        <n v="36463"/>
        <n v="360983"/>
        <n v="-25919"/>
        <n v="124091"/>
        <n v="130860"/>
        <n v="235569"/>
        <n v="108202"/>
        <n v="147224"/>
        <n v="121037"/>
        <n v="569816"/>
        <n v="40401"/>
        <n v="122884"/>
        <n v="420654"/>
        <n v="-33413"/>
        <n v="39891"/>
        <n v="83151"/>
        <n v="167901"/>
        <n v="542591"/>
        <n v="168409"/>
        <n v="11756"/>
        <n v="546803"/>
        <n v="110779"/>
        <n v="-8009"/>
        <n v="-626"/>
        <n v="204140"/>
        <n v="307920"/>
        <n v="150201"/>
        <n v="170947"/>
        <n v="116657"/>
        <n v="134230"/>
        <n v="216978"/>
        <n v="60187"/>
        <n v="12543"/>
        <n v="164344"/>
        <n v="212626"/>
        <n v="17684"/>
        <n v="127734"/>
        <n v="141203"/>
        <n v="299682"/>
        <n v="31744"/>
        <n v="45063"/>
        <n v="193067"/>
        <n v="49287"/>
        <n v="220943"/>
        <n v="147184"/>
        <n v="137011"/>
        <n v="287026"/>
        <n v="7135"/>
        <n v="245758"/>
        <n v="152169"/>
        <n v="413165"/>
        <n v="222721"/>
        <n v="-26331"/>
        <n v="69387"/>
        <n v="165881"/>
        <n v="11237"/>
        <n v="89426"/>
        <n v="118479"/>
        <n v="153826"/>
        <n v="128636"/>
        <n v="154562"/>
        <n v="356110"/>
        <n v="-11932"/>
        <n v="166854"/>
        <n v="227834"/>
        <n v="38031"/>
        <n v="58485"/>
        <n v="258980"/>
        <n v="76331"/>
        <n v="180072"/>
        <n v="219505"/>
        <n v="39147"/>
        <n v="381146"/>
        <n v="131111"/>
        <n v="184957"/>
        <n v="947"/>
        <n v="98429"/>
        <n v="-18898"/>
        <n v="359602"/>
        <n v="500313"/>
        <n v="26505"/>
        <n v="482234"/>
        <n v="29491"/>
        <n v="405768"/>
        <n v="183513"/>
        <n v="47182"/>
        <n v="287857"/>
        <n v="173347"/>
        <n v="276993"/>
        <n v="36522"/>
        <n v="383356"/>
        <n v="659208"/>
        <n v="54575"/>
        <n v="459471"/>
        <n v="-31040"/>
        <n v="46598"/>
        <n v="110819"/>
        <n v="194285"/>
        <n v="119478"/>
        <n v="191051"/>
        <n v="468625"/>
        <n v="115387"/>
        <n v="48048"/>
        <n v="52305"/>
        <n v="-8726"/>
        <n v="68179"/>
        <n v="259514"/>
        <n v="30064"/>
        <n v="-2782"/>
        <n v="296560"/>
        <n v="23596"/>
        <n v="22446"/>
        <n v="327623"/>
        <n v="156982"/>
        <n v="77728"/>
        <n v="44502"/>
        <n v="81516"/>
        <n v="201629"/>
        <n v="-2473"/>
        <n v="69479"/>
        <n v="72778"/>
        <n v="439246"/>
        <n v="77443"/>
        <n v="227945"/>
        <n v="-24172"/>
        <n v="355117"/>
        <n v="224589"/>
        <n v="194531"/>
        <n v="180151"/>
        <n v="158970"/>
        <n v="321745"/>
        <n v="120905"/>
        <n v="201200"/>
        <n v="68062"/>
        <n v="107371"/>
        <n v="149603"/>
        <n v="75106"/>
        <n v="15455"/>
        <n v="346969"/>
        <n v="416921"/>
        <n v="185887"/>
        <n v="307733"/>
        <n v="87597"/>
        <n v="335671"/>
        <n v="301631"/>
        <n v="108641"/>
        <n v="435257"/>
        <n v="293530"/>
        <n v="8217"/>
        <n v="130802"/>
        <n v="24962"/>
        <n v="205284"/>
        <n v="3407"/>
        <n v="201746"/>
        <n v="531591"/>
        <n v="450266"/>
        <n v="95918"/>
        <n v="56887"/>
        <n v="187126"/>
        <n v="217233"/>
        <n v="11918"/>
        <n v="328543"/>
        <n v="57931"/>
        <n v="543417"/>
        <n v="315968"/>
        <n v="5447"/>
        <n v="95047"/>
        <n v="230168"/>
        <n v="185132"/>
        <n v="529156"/>
        <n v="47062"/>
        <n v="258228"/>
        <n v="219173"/>
        <n v="278967"/>
        <n v="16145"/>
        <n v="70487"/>
        <n v="211161"/>
        <n v="99472"/>
        <n v="309485"/>
        <n v="24447"/>
        <n v="14956"/>
        <n v="54607"/>
        <n v="104212"/>
        <n v="102559"/>
        <n v="34708"/>
        <n v="132778"/>
        <n v="625915"/>
        <n v="296371"/>
        <n v="185261"/>
        <n v="229114"/>
        <n v="427580"/>
        <n v="70184"/>
        <n v="30263"/>
        <n v="394108"/>
        <n v="4634"/>
        <n v="196772"/>
        <n v="108695"/>
        <n v="114346"/>
        <n v="-12570"/>
        <n v="14818"/>
        <n v="231530"/>
        <n v="410708"/>
        <n v="485140"/>
        <n v="14472"/>
        <n v="-19251"/>
        <n v="237677"/>
        <n v="-5204"/>
        <n v="10839"/>
        <n v="353816"/>
        <n v="700910"/>
        <n v="543373"/>
        <n v="422012"/>
        <n v="244012"/>
        <n v="-36"/>
        <n v="163246"/>
        <n v="6773"/>
        <n v="132942"/>
        <n v="377979"/>
        <n v="103735"/>
        <n v="3288"/>
        <n v="-5460"/>
        <n v="391064"/>
        <n v="109451"/>
        <n v="416121"/>
        <n v="229330"/>
        <n v="14400"/>
        <n v="133320"/>
        <n v="205193"/>
        <n v="-4018"/>
        <n v="622425"/>
        <n v="36799"/>
        <n v="416010"/>
        <n v="189576"/>
        <n v="56546"/>
        <n v="187264"/>
        <n v="607026"/>
        <n v="32403"/>
        <n v="410516"/>
        <n v="458711"/>
        <n v="255158"/>
        <n v="240683"/>
        <n v="387255"/>
        <n v="76903"/>
        <n v="16592"/>
        <n v="55552"/>
        <n v="312449"/>
        <n v="226419"/>
        <n v="217039"/>
        <n v="74662"/>
        <n v="118868"/>
        <n v="205595"/>
        <n v="5201"/>
        <n v="15174"/>
        <n v="359717"/>
        <n v="223760"/>
        <n v="-20935"/>
        <n v="511551"/>
        <n v="52692"/>
        <n v="299581"/>
        <n v="114900"/>
        <n v="377084"/>
        <n v="420419"/>
        <n v="129325"/>
        <n v="224039"/>
        <n v="94563"/>
        <n v="65780"/>
        <n v="-11791"/>
        <n v="344038"/>
        <n v="124249"/>
        <n v="62714"/>
        <n v="10951"/>
        <n v="-33525"/>
        <n v="170394"/>
        <n v="18353"/>
        <n v="255427"/>
        <n v="160746"/>
        <n v="187030"/>
        <n v="235446"/>
        <n v="487393"/>
        <n v="143230"/>
        <n v="29328"/>
        <n v="138491"/>
        <n v="623214"/>
        <n v="219028"/>
        <n v="30699"/>
        <n v="227431"/>
        <n v="366685"/>
        <n v="311576"/>
        <n v="283707"/>
        <n v="389940"/>
        <n v="129331"/>
        <n v="542276"/>
        <n v="538850"/>
        <n v="335412"/>
        <n v="34373"/>
        <n v="15"/>
        <n v="152910"/>
        <n v="358797"/>
        <n v="-26149"/>
        <n v="109416"/>
        <n v="166407"/>
        <n v="257467"/>
        <n v="46946"/>
        <n v="647550"/>
        <n v="270577"/>
        <n v="239511"/>
        <n v="508630"/>
        <n v="225417"/>
        <n v="306908"/>
        <n v="126664"/>
        <n v="109414"/>
        <n v="25484"/>
        <n v="1984"/>
        <n v="58980"/>
        <n v="357248"/>
        <n v="542435"/>
        <n v="219415"/>
        <n v="5385"/>
        <n v="311246"/>
        <n v="135900"/>
        <n v="-12387"/>
        <n v="24486"/>
        <n v="436137"/>
        <n v="253624"/>
        <n v="49509"/>
        <n v="264663"/>
        <n v="28801"/>
        <n v="323885"/>
        <n v="-28486"/>
        <n v="272178"/>
        <n v="164821"/>
        <n v="49774"/>
        <n v="216857"/>
        <n v="30320"/>
        <n v="72436"/>
        <n v="24072"/>
        <n v="248956"/>
        <n v="289149"/>
        <n v="125006"/>
        <n v="22010"/>
        <n v="10665"/>
        <n v="432199"/>
        <n v="292470"/>
        <n v="83209"/>
        <n v="23047"/>
        <n v="37176"/>
        <n v="589586"/>
        <n v="450258"/>
        <n v="453309"/>
        <n v="336450"/>
        <n v="138979"/>
        <n v="280347"/>
        <n v="234175"/>
        <n v="31903"/>
        <n v="15696"/>
        <n v="225725"/>
        <n v="445411"/>
        <n v="661213"/>
        <n v="36844"/>
        <n v="94133"/>
        <n v="-6107"/>
        <n v="263942"/>
        <n v="451750"/>
        <n v="-8188"/>
        <n v="260613"/>
        <n v="25667"/>
        <n v="-19747"/>
        <n v="158768"/>
        <n v="-963"/>
        <n v="210430"/>
        <n v="20499"/>
        <n v="45863"/>
        <n v="-18402"/>
        <n v="285675"/>
        <n v="302225"/>
        <n v="313940"/>
        <n v="370670"/>
        <n v="35405"/>
        <n v="119557"/>
        <n v="45667"/>
        <n v="570881"/>
        <n v="600598"/>
        <n v="39258"/>
        <n v="102702"/>
        <n v="2987"/>
        <n v="-15263"/>
        <n v="-1274"/>
        <n v="32762"/>
        <n v="259120"/>
        <n v="578949"/>
      </sharedItems>
    </cacheField>
    <cacheField name="Months (Date)" numFmtId="0" databaseField="0">
      <fieldGroup base="1">
        <rangePr groupBy="months" startDate="2024-01-02T00:00:00" endDate="2025-05-15T00:00:00"/>
        <groupItems count="14">
          <s v="&lt;02/01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05/25"/>
        </groupItems>
      </fieldGroup>
    </cacheField>
    <cacheField name="Quarters (Date)" numFmtId="0" databaseField="0">
      <fieldGroup base="1">
        <rangePr groupBy="quarters" startDate="2024-01-02T00:00:00" endDate="2025-05-15T00:00:00"/>
        <groupItems count="6">
          <s v="&lt;02/01/24"/>
          <s v="Qtr1"/>
          <s v="Qtr2"/>
          <s v="Qtr3"/>
          <s v="Qtr4"/>
          <s v="&gt;15/05/25"/>
        </groupItems>
      </fieldGroup>
    </cacheField>
    <cacheField name="Years (Date)" numFmtId="0" databaseField="0">
      <fieldGroup base="1">
        <rangePr groupBy="years" startDate="2024-01-02T00:00:00" endDate="2025-05-15T00:00:00"/>
        <groupItems count="4">
          <s v="&lt;02/01/24"/>
          <s v="2024"/>
          <s v="2025"/>
          <s v="&gt;15/05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  <n v="2"/>
    <n v="47381"/>
    <n v="3023"/>
    <x v="0"/>
    <n v="94762"/>
    <x v="0"/>
  </r>
  <r>
    <x v="1"/>
    <x v="0"/>
    <x v="0"/>
    <x v="0"/>
    <x v="0"/>
    <n v="4"/>
    <n v="6401"/>
    <n v="8521"/>
    <x v="1"/>
    <n v="25604"/>
    <x v="1"/>
  </r>
  <r>
    <x v="2"/>
    <x v="0"/>
    <x v="0"/>
    <x v="1"/>
    <x v="0"/>
    <n v="7"/>
    <n v="6042"/>
    <n v="22384"/>
    <x v="1"/>
    <n v="42294"/>
    <x v="2"/>
  </r>
  <r>
    <x v="3"/>
    <x v="1"/>
    <x v="0"/>
    <x v="1"/>
    <x v="1"/>
    <n v="1"/>
    <n v="60060"/>
    <n v="46096"/>
    <x v="0"/>
    <n v="60060"/>
    <x v="3"/>
  </r>
  <r>
    <x v="4"/>
    <x v="2"/>
    <x v="0"/>
    <x v="0"/>
    <x v="2"/>
    <n v="8"/>
    <n v="73879"/>
    <n v="8999"/>
    <x v="1"/>
    <n v="591032"/>
    <x v="4"/>
  </r>
  <r>
    <x v="5"/>
    <x v="3"/>
    <x v="0"/>
    <x v="2"/>
    <x v="3"/>
    <n v="1"/>
    <n v="39571"/>
    <n v="7416"/>
    <x v="0"/>
    <n v="39571"/>
    <x v="5"/>
  </r>
  <r>
    <x v="6"/>
    <x v="4"/>
    <x v="0"/>
    <x v="0"/>
    <x v="2"/>
    <n v="1"/>
    <n v="34584"/>
    <n v="34937"/>
    <x v="0"/>
    <n v="34584"/>
    <x v="6"/>
  </r>
  <r>
    <x v="7"/>
    <x v="4"/>
    <x v="0"/>
    <x v="1"/>
    <x v="3"/>
    <n v="8"/>
    <n v="1171"/>
    <n v="7971"/>
    <x v="2"/>
    <n v="9368"/>
    <x v="7"/>
  </r>
  <r>
    <x v="8"/>
    <x v="5"/>
    <x v="0"/>
    <x v="0"/>
    <x v="4"/>
    <n v="2"/>
    <n v="49104"/>
    <n v="2431"/>
    <x v="0"/>
    <n v="98208"/>
    <x v="8"/>
  </r>
  <r>
    <x v="9"/>
    <x v="6"/>
    <x v="0"/>
    <x v="3"/>
    <x v="0"/>
    <n v="2"/>
    <n v="28098"/>
    <n v="24928"/>
    <x v="0"/>
    <n v="56196"/>
    <x v="9"/>
  </r>
  <r>
    <x v="10"/>
    <x v="7"/>
    <x v="0"/>
    <x v="4"/>
    <x v="4"/>
    <n v="4"/>
    <n v="37884"/>
    <n v="30411"/>
    <x v="0"/>
    <n v="151536"/>
    <x v="10"/>
  </r>
  <r>
    <x v="11"/>
    <x v="7"/>
    <x v="0"/>
    <x v="4"/>
    <x v="1"/>
    <n v="5"/>
    <n v="64815"/>
    <n v="27201"/>
    <x v="3"/>
    <n v="324075"/>
    <x v="11"/>
  </r>
  <r>
    <x v="12"/>
    <x v="8"/>
    <x v="0"/>
    <x v="0"/>
    <x v="1"/>
    <n v="6"/>
    <n v="58213"/>
    <n v="6433"/>
    <x v="1"/>
    <n v="349278"/>
    <x v="12"/>
  </r>
  <r>
    <x v="13"/>
    <x v="9"/>
    <x v="0"/>
    <x v="5"/>
    <x v="1"/>
    <n v="7"/>
    <n v="61832"/>
    <n v="10794"/>
    <x v="0"/>
    <n v="432824"/>
    <x v="13"/>
  </r>
  <r>
    <x v="14"/>
    <x v="10"/>
    <x v="0"/>
    <x v="0"/>
    <x v="3"/>
    <n v="5"/>
    <n v="50638"/>
    <n v="46268"/>
    <x v="2"/>
    <n v="253190"/>
    <x v="14"/>
  </r>
  <r>
    <x v="15"/>
    <x v="10"/>
    <x v="0"/>
    <x v="3"/>
    <x v="1"/>
    <n v="6"/>
    <n v="65232"/>
    <n v="20033"/>
    <x v="2"/>
    <n v="391392"/>
    <x v="15"/>
  </r>
  <r>
    <x v="16"/>
    <x v="11"/>
    <x v="0"/>
    <x v="5"/>
    <x v="1"/>
    <n v="7"/>
    <n v="65465"/>
    <n v="37495"/>
    <x v="3"/>
    <n v="458255"/>
    <x v="16"/>
  </r>
  <r>
    <x v="17"/>
    <x v="11"/>
    <x v="0"/>
    <x v="3"/>
    <x v="1"/>
    <n v="3"/>
    <n v="10366"/>
    <n v="17299"/>
    <x v="3"/>
    <n v="31098"/>
    <x v="17"/>
  </r>
  <r>
    <x v="18"/>
    <x v="12"/>
    <x v="0"/>
    <x v="4"/>
    <x v="1"/>
    <n v="9"/>
    <n v="28770"/>
    <n v="10346"/>
    <x v="0"/>
    <n v="258930"/>
    <x v="18"/>
  </r>
  <r>
    <x v="19"/>
    <x v="13"/>
    <x v="0"/>
    <x v="4"/>
    <x v="0"/>
    <n v="8"/>
    <n v="40890"/>
    <n v="19509"/>
    <x v="0"/>
    <n v="327120"/>
    <x v="19"/>
  </r>
  <r>
    <x v="20"/>
    <x v="13"/>
    <x v="0"/>
    <x v="1"/>
    <x v="0"/>
    <n v="8"/>
    <n v="48731"/>
    <n v="35782"/>
    <x v="1"/>
    <n v="389848"/>
    <x v="20"/>
  </r>
  <r>
    <x v="21"/>
    <x v="14"/>
    <x v="0"/>
    <x v="0"/>
    <x v="4"/>
    <n v="7"/>
    <n v="61463"/>
    <n v="24252"/>
    <x v="0"/>
    <n v="430241"/>
    <x v="21"/>
  </r>
  <r>
    <x v="22"/>
    <x v="15"/>
    <x v="1"/>
    <x v="4"/>
    <x v="4"/>
    <n v="8"/>
    <n v="7921"/>
    <n v="31268"/>
    <x v="1"/>
    <n v="63368"/>
    <x v="22"/>
  </r>
  <r>
    <x v="23"/>
    <x v="15"/>
    <x v="1"/>
    <x v="5"/>
    <x v="2"/>
    <n v="2"/>
    <n v="8288"/>
    <n v="12739"/>
    <x v="3"/>
    <n v="16576"/>
    <x v="23"/>
  </r>
  <r>
    <x v="24"/>
    <x v="16"/>
    <x v="1"/>
    <x v="0"/>
    <x v="1"/>
    <n v="5"/>
    <n v="39810"/>
    <n v="48639"/>
    <x v="1"/>
    <n v="199050"/>
    <x v="24"/>
  </r>
  <r>
    <x v="25"/>
    <x v="16"/>
    <x v="1"/>
    <x v="5"/>
    <x v="4"/>
    <n v="8"/>
    <n v="38967"/>
    <n v="19284"/>
    <x v="2"/>
    <n v="311736"/>
    <x v="25"/>
  </r>
  <r>
    <x v="26"/>
    <x v="16"/>
    <x v="1"/>
    <x v="3"/>
    <x v="2"/>
    <n v="1"/>
    <n v="78540"/>
    <n v="7450"/>
    <x v="2"/>
    <n v="78540"/>
    <x v="26"/>
  </r>
  <r>
    <x v="27"/>
    <x v="17"/>
    <x v="1"/>
    <x v="2"/>
    <x v="3"/>
    <n v="9"/>
    <n v="43328"/>
    <n v="16261"/>
    <x v="1"/>
    <n v="389952"/>
    <x v="27"/>
  </r>
  <r>
    <x v="28"/>
    <x v="18"/>
    <x v="1"/>
    <x v="0"/>
    <x v="1"/>
    <n v="6"/>
    <n v="47576"/>
    <n v="14521"/>
    <x v="1"/>
    <n v="285456"/>
    <x v="28"/>
  </r>
  <r>
    <x v="29"/>
    <x v="18"/>
    <x v="1"/>
    <x v="3"/>
    <x v="3"/>
    <n v="5"/>
    <n v="64879"/>
    <n v="41718"/>
    <x v="3"/>
    <n v="324395"/>
    <x v="29"/>
  </r>
  <r>
    <x v="30"/>
    <x v="19"/>
    <x v="1"/>
    <x v="1"/>
    <x v="1"/>
    <n v="1"/>
    <n v="58406"/>
    <n v="47443"/>
    <x v="1"/>
    <n v="58406"/>
    <x v="30"/>
  </r>
  <r>
    <x v="31"/>
    <x v="20"/>
    <x v="1"/>
    <x v="0"/>
    <x v="4"/>
    <n v="8"/>
    <n v="12911"/>
    <n v="21354"/>
    <x v="2"/>
    <n v="103288"/>
    <x v="31"/>
  </r>
  <r>
    <x v="32"/>
    <x v="21"/>
    <x v="1"/>
    <x v="4"/>
    <x v="4"/>
    <n v="9"/>
    <n v="9935"/>
    <n v="11258"/>
    <x v="1"/>
    <n v="89415"/>
    <x v="32"/>
  </r>
  <r>
    <x v="33"/>
    <x v="21"/>
    <x v="1"/>
    <x v="1"/>
    <x v="0"/>
    <n v="9"/>
    <n v="34255"/>
    <n v="31254"/>
    <x v="3"/>
    <n v="308295"/>
    <x v="33"/>
  </r>
  <r>
    <x v="34"/>
    <x v="22"/>
    <x v="1"/>
    <x v="1"/>
    <x v="1"/>
    <n v="3"/>
    <n v="71087"/>
    <n v="30309"/>
    <x v="1"/>
    <n v="213261"/>
    <x v="34"/>
  </r>
  <r>
    <x v="35"/>
    <x v="23"/>
    <x v="1"/>
    <x v="5"/>
    <x v="0"/>
    <n v="5"/>
    <n v="31510"/>
    <n v="37060"/>
    <x v="2"/>
    <n v="157550"/>
    <x v="35"/>
  </r>
  <r>
    <x v="36"/>
    <x v="23"/>
    <x v="1"/>
    <x v="2"/>
    <x v="4"/>
    <n v="2"/>
    <n v="63211"/>
    <n v="8896"/>
    <x v="2"/>
    <n v="126422"/>
    <x v="36"/>
  </r>
  <r>
    <x v="37"/>
    <x v="24"/>
    <x v="1"/>
    <x v="2"/>
    <x v="1"/>
    <n v="6"/>
    <n v="20603"/>
    <n v="20675"/>
    <x v="3"/>
    <n v="123618"/>
    <x v="37"/>
  </r>
  <r>
    <x v="38"/>
    <x v="25"/>
    <x v="1"/>
    <x v="5"/>
    <x v="2"/>
    <n v="5"/>
    <n v="17653"/>
    <n v="42855"/>
    <x v="3"/>
    <n v="88265"/>
    <x v="38"/>
  </r>
  <r>
    <x v="39"/>
    <x v="26"/>
    <x v="1"/>
    <x v="1"/>
    <x v="4"/>
    <n v="5"/>
    <n v="18227"/>
    <n v="9329"/>
    <x v="2"/>
    <n v="91135"/>
    <x v="39"/>
  </r>
  <r>
    <x v="40"/>
    <x v="27"/>
    <x v="1"/>
    <x v="5"/>
    <x v="2"/>
    <n v="2"/>
    <n v="18272"/>
    <n v="39787"/>
    <x v="1"/>
    <n v="36544"/>
    <x v="40"/>
  </r>
  <r>
    <x v="41"/>
    <x v="27"/>
    <x v="1"/>
    <x v="2"/>
    <x v="1"/>
    <n v="8"/>
    <n v="7410"/>
    <n v="30009"/>
    <x v="2"/>
    <n v="59280"/>
    <x v="41"/>
  </r>
  <r>
    <x v="42"/>
    <x v="28"/>
    <x v="1"/>
    <x v="5"/>
    <x v="4"/>
    <n v="8"/>
    <n v="45879"/>
    <n v="8909"/>
    <x v="1"/>
    <n v="367032"/>
    <x v="42"/>
  </r>
  <r>
    <x v="43"/>
    <x v="29"/>
    <x v="1"/>
    <x v="1"/>
    <x v="2"/>
    <n v="3"/>
    <n v="63949"/>
    <n v="15042"/>
    <x v="3"/>
    <n v="191847"/>
    <x v="43"/>
  </r>
  <r>
    <x v="44"/>
    <x v="29"/>
    <x v="1"/>
    <x v="3"/>
    <x v="0"/>
    <n v="4"/>
    <n v="76795"/>
    <n v="44732"/>
    <x v="1"/>
    <n v="307180"/>
    <x v="44"/>
  </r>
  <r>
    <x v="45"/>
    <x v="30"/>
    <x v="1"/>
    <x v="0"/>
    <x v="1"/>
    <n v="2"/>
    <n v="74294"/>
    <n v="14493"/>
    <x v="3"/>
    <n v="148588"/>
    <x v="45"/>
  </r>
  <r>
    <x v="46"/>
    <x v="30"/>
    <x v="1"/>
    <x v="2"/>
    <x v="2"/>
    <n v="8"/>
    <n v="56654"/>
    <n v="8345"/>
    <x v="1"/>
    <n v="453232"/>
    <x v="46"/>
  </r>
  <r>
    <x v="47"/>
    <x v="31"/>
    <x v="1"/>
    <x v="4"/>
    <x v="0"/>
    <n v="7"/>
    <n v="27466"/>
    <n v="25286"/>
    <x v="1"/>
    <n v="192262"/>
    <x v="47"/>
  </r>
  <r>
    <x v="48"/>
    <x v="31"/>
    <x v="1"/>
    <x v="0"/>
    <x v="1"/>
    <n v="3"/>
    <n v="22175"/>
    <n v="13693"/>
    <x v="0"/>
    <n v="66525"/>
    <x v="48"/>
  </r>
  <r>
    <x v="49"/>
    <x v="31"/>
    <x v="1"/>
    <x v="5"/>
    <x v="1"/>
    <n v="1"/>
    <n v="48744"/>
    <n v="48945"/>
    <x v="3"/>
    <n v="48744"/>
    <x v="49"/>
  </r>
  <r>
    <x v="50"/>
    <x v="32"/>
    <x v="1"/>
    <x v="1"/>
    <x v="4"/>
    <n v="9"/>
    <n v="6512"/>
    <n v="27661"/>
    <x v="0"/>
    <n v="58608"/>
    <x v="50"/>
  </r>
  <r>
    <x v="51"/>
    <x v="32"/>
    <x v="1"/>
    <x v="4"/>
    <x v="1"/>
    <n v="6"/>
    <n v="38185"/>
    <n v="19474"/>
    <x v="2"/>
    <n v="229110"/>
    <x v="51"/>
  </r>
  <r>
    <x v="52"/>
    <x v="32"/>
    <x v="1"/>
    <x v="3"/>
    <x v="3"/>
    <n v="5"/>
    <n v="11249"/>
    <n v="1258"/>
    <x v="3"/>
    <n v="56245"/>
    <x v="52"/>
  </r>
  <r>
    <x v="53"/>
    <x v="32"/>
    <x v="1"/>
    <x v="4"/>
    <x v="2"/>
    <n v="8"/>
    <n v="76772"/>
    <n v="38396"/>
    <x v="1"/>
    <n v="614176"/>
    <x v="53"/>
  </r>
  <r>
    <x v="54"/>
    <x v="33"/>
    <x v="1"/>
    <x v="4"/>
    <x v="3"/>
    <n v="8"/>
    <n v="60733"/>
    <n v="12329"/>
    <x v="1"/>
    <n v="485864"/>
    <x v="54"/>
  </r>
  <r>
    <x v="55"/>
    <x v="34"/>
    <x v="1"/>
    <x v="4"/>
    <x v="0"/>
    <n v="2"/>
    <n v="38143"/>
    <n v="7370"/>
    <x v="2"/>
    <n v="76286"/>
    <x v="55"/>
  </r>
  <r>
    <x v="56"/>
    <x v="35"/>
    <x v="1"/>
    <x v="3"/>
    <x v="1"/>
    <n v="2"/>
    <n v="1867"/>
    <n v="22727"/>
    <x v="3"/>
    <n v="3734"/>
    <x v="56"/>
  </r>
  <r>
    <x v="57"/>
    <x v="36"/>
    <x v="1"/>
    <x v="4"/>
    <x v="3"/>
    <n v="7"/>
    <n v="23677"/>
    <n v="8239"/>
    <x v="2"/>
    <n v="165739"/>
    <x v="57"/>
  </r>
  <r>
    <x v="58"/>
    <x v="37"/>
    <x v="2"/>
    <x v="4"/>
    <x v="2"/>
    <n v="6"/>
    <n v="65608"/>
    <n v="47850"/>
    <x v="2"/>
    <n v="393648"/>
    <x v="58"/>
  </r>
  <r>
    <x v="59"/>
    <x v="37"/>
    <x v="2"/>
    <x v="2"/>
    <x v="1"/>
    <n v="1"/>
    <n v="40391"/>
    <n v="9461"/>
    <x v="0"/>
    <n v="40391"/>
    <x v="59"/>
  </r>
  <r>
    <x v="60"/>
    <x v="38"/>
    <x v="2"/>
    <x v="4"/>
    <x v="0"/>
    <n v="9"/>
    <n v="66181"/>
    <n v="10518"/>
    <x v="0"/>
    <n v="595629"/>
    <x v="60"/>
  </r>
  <r>
    <x v="61"/>
    <x v="38"/>
    <x v="2"/>
    <x v="5"/>
    <x v="0"/>
    <n v="2"/>
    <n v="4755"/>
    <n v="3839"/>
    <x v="2"/>
    <n v="9510"/>
    <x v="61"/>
  </r>
  <r>
    <x v="62"/>
    <x v="39"/>
    <x v="2"/>
    <x v="5"/>
    <x v="4"/>
    <n v="3"/>
    <n v="75888"/>
    <n v="29854"/>
    <x v="1"/>
    <n v="227664"/>
    <x v="62"/>
  </r>
  <r>
    <x v="63"/>
    <x v="40"/>
    <x v="2"/>
    <x v="3"/>
    <x v="0"/>
    <n v="4"/>
    <n v="29828"/>
    <n v="1162"/>
    <x v="3"/>
    <n v="119312"/>
    <x v="63"/>
  </r>
  <r>
    <x v="64"/>
    <x v="41"/>
    <x v="2"/>
    <x v="1"/>
    <x v="1"/>
    <n v="7"/>
    <n v="7599"/>
    <n v="21095"/>
    <x v="2"/>
    <n v="53193"/>
    <x v="64"/>
  </r>
  <r>
    <x v="65"/>
    <x v="42"/>
    <x v="2"/>
    <x v="0"/>
    <x v="4"/>
    <n v="2"/>
    <n v="36987"/>
    <n v="20921"/>
    <x v="1"/>
    <n v="73974"/>
    <x v="65"/>
  </r>
  <r>
    <x v="66"/>
    <x v="43"/>
    <x v="2"/>
    <x v="5"/>
    <x v="4"/>
    <n v="4"/>
    <n v="73430"/>
    <n v="7629"/>
    <x v="0"/>
    <n v="293720"/>
    <x v="66"/>
  </r>
  <r>
    <x v="67"/>
    <x v="44"/>
    <x v="2"/>
    <x v="5"/>
    <x v="1"/>
    <n v="1"/>
    <n v="9406"/>
    <n v="24705"/>
    <x v="3"/>
    <n v="9406"/>
    <x v="67"/>
  </r>
  <r>
    <x v="68"/>
    <x v="44"/>
    <x v="2"/>
    <x v="4"/>
    <x v="2"/>
    <n v="5"/>
    <n v="64674"/>
    <n v="34787"/>
    <x v="0"/>
    <n v="323370"/>
    <x v="68"/>
  </r>
  <r>
    <x v="69"/>
    <x v="44"/>
    <x v="2"/>
    <x v="0"/>
    <x v="0"/>
    <n v="9"/>
    <n v="64809"/>
    <n v="10879"/>
    <x v="3"/>
    <n v="583281"/>
    <x v="69"/>
  </r>
  <r>
    <x v="70"/>
    <x v="45"/>
    <x v="2"/>
    <x v="4"/>
    <x v="2"/>
    <n v="4"/>
    <n v="707"/>
    <n v="10435"/>
    <x v="3"/>
    <n v="2828"/>
    <x v="70"/>
  </r>
  <r>
    <x v="71"/>
    <x v="46"/>
    <x v="2"/>
    <x v="5"/>
    <x v="3"/>
    <n v="3"/>
    <n v="47555"/>
    <n v="21567"/>
    <x v="3"/>
    <n v="142665"/>
    <x v="71"/>
  </r>
  <r>
    <x v="72"/>
    <x v="47"/>
    <x v="2"/>
    <x v="4"/>
    <x v="4"/>
    <n v="7"/>
    <n v="54051"/>
    <n v="20873"/>
    <x v="1"/>
    <n v="378357"/>
    <x v="72"/>
  </r>
  <r>
    <x v="73"/>
    <x v="48"/>
    <x v="3"/>
    <x v="1"/>
    <x v="4"/>
    <n v="5"/>
    <n v="79214"/>
    <n v="24762"/>
    <x v="0"/>
    <n v="396070"/>
    <x v="73"/>
  </r>
  <r>
    <x v="74"/>
    <x v="49"/>
    <x v="3"/>
    <x v="2"/>
    <x v="1"/>
    <n v="4"/>
    <n v="45500"/>
    <n v="2089"/>
    <x v="3"/>
    <n v="182000"/>
    <x v="74"/>
  </r>
  <r>
    <x v="75"/>
    <x v="50"/>
    <x v="3"/>
    <x v="2"/>
    <x v="2"/>
    <n v="1"/>
    <n v="45613"/>
    <n v="18069"/>
    <x v="1"/>
    <n v="45613"/>
    <x v="75"/>
  </r>
  <r>
    <x v="76"/>
    <x v="50"/>
    <x v="3"/>
    <x v="0"/>
    <x v="2"/>
    <n v="1"/>
    <n v="74361"/>
    <n v="19322"/>
    <x v="0"/>
    <n v="74361"/>
    <x v="76"/>
  </r>
  <r>
    <x v="77"/>
    <x v="51"/>
    <x v="3"/>
    <x v="0"/>
    <x v="0"/>
    <n v="2"/>
    <n v="56177"/>
    <n v="19708"/>
    <x v="1"/>
    <n v="112354"/>
    <x v="77"/>
  </r>
  <r>
    <x v="78"/>
    <x v="51"/>
    <x v="3"/>
    <x v="3"/>
    <x v="3"/>
    <n v="8"/>
    <n v="18130"/>
    <n v="5079"/>
    <x v="1"/>
    <n v="145040"/>
    <x v="78"/>
  </r>
  <r>
    <x v="79"/>
    <x v="52"/>
    <x v="3"/>
    <x v="4"/>
    <x v="2"/>
    <n v="6"/>
    <n v="61045"/>
    <n v="17994"/>
    <x v="2"/>
    <n v="366270"/>
    <x v="79"/>
  </r>
  <r>
    <x v="80"/>
    <x v="53"/>
    <x v="3"/>
    <x v="1"/>
    <x v="1"/>
    <n v="1"/>
    <n v="56254"/>
    <n v="43845"/>
    <x v="0"/>
    <n v="56254"/>
    <x v="80"/>
  </r>
  <r>
    <x v="81"/>
    <x v="53"/>
    <x v="3"/>
    <x v="5"/>
    <x v="0"/>
    <n v="7"/>
    <n v="69752"/>
    <n v="7852"/>
    <x v="1"/>
    <n v="488264"/>
    <x v="81"/>
  </r>
  <r>
    <x v="82"/>
    <x v="53"/>
    <x v="3"/>
    <x v="1"/>
    <x v="4"/>
    <n v="3"/>
    <n v="41924"/>
    <n v="20909"/>
    <x v="0"/>
    <n v="125772"/>
    <x v="82"/>
  </r>
  <r>
    <x v="83"/>
    <x v="53"/>
    <x v="3"/>
    <x v="0"/>
    <x v="4"/>
    <n v="2"/>
    <n v="3691"/>
    <n v="12205"/>
    <x v="0"/>
    <n v="7382"/>
    <x v="83"/>
  </r>
  <r>
    <x v="84"/>
    <x v="53"/>
    <x v="3"/>
    <x v="3"/>
    <x v="1"/>
    <n v="7"/>
    <n v="70019"/>
    <n v="7980"/>
    <x v="2"/>
    <n v="490133"/>
    <x v="84"/>
  </r>
  <r>
    <x v="85"/>
    <x v="53"/>
    <x v="3"/>
    <x v="5"/>
    <x v="2"/>
    <n v="5"/>
    <n v="22668"/>
    <n v="38346"/>
    <x v="3"/>
    <n v="113340"/>
    <x v="85"/>
  </r>
  <r>
    <x v="86"/>
    <x v="54"/>
    <x v="3"/>
    <x v="1"/>
    <x v="2"/>
    <n v="5"/>
    <n v="42787"/>
    <n v="44285"/>
    <x v="3"/>
    <n v="213935"/>
    <x v="86"/>
  </r>
  <r>
    <x v="87"/>
    <x v="55"/>
    <x v="3"/>
    <x v="5"/>
    <x v="0"/>
    <n v="8"/>
    <n v="76829"/>
    <n v="18833"/>
    <x v="3"/>
    <n v="614632"/>
    <x v="87"/>
  </r>
  <r>
    <x v="88"/>
    <x v="55"/>
    <x v="3"/>
    <x v="3"/>
    <x v="1"/>
    <n v="8"/>
    <n v="6156"/>
    <n v="34365"/>
    <x v="3"/>
    <n v="49248"/>
    <x v="88"/>
  </r>
  <r>
    <x v="89"/>
    <x v="56"/>
    <x v="3"/>
    <x v="5"/>
    <x v="3"/>
    <n v="3"/>
    <n v="47914"/>
    <n v="21714"/>
    <x v="0"/>
    <n v="143742"/>
    <x v="89"/>
  </r>
  <r>
    <x v="90"/>
    <x v="56"/>
    <x v="3"/>
    <x v="2"/>
    <x v="3"/>
    <n v="1"/>
    <n v="43323"/>
    <n v="25858"/>
    <x v="2"/>
    <n v="43323"/>
    <x v="90"/>
  </r>
  <r>
    <x v="91"/>
    <x v="57"/>
    <x v="3"/>
    <x v="1"/>
    <x v="4"/>
    <n v="9"/>
    <n v="20377"/>
    <n v="47971"/>
    <x v="2"/>
    <n v="183393"/>
    <x v="91"/>
  </r>
  <r>
    <x v="92"/>
    <x v="58"/>
    <x v="3"/>
    <x v="0"/>
    <x v="1"/>
    <n v="1"/>
    <n v="50615"/>
    <n v="39659"/>
    <x v="3"/>
    <n v="50615"/>
    <x v="92"/>
  </r>
  <r>
    <x v="93"/>
    <x v="59"/>
    <x v="3"/>
    <x v="5"/>
    <x v="4"/>
    <n v="6"/>
    <n v="24589"/>
    <n v="49908"/>
    <x v="2"/>
    <n v="147534"/>
    <x v="93"/>
  </r>
  <r>
    <x v="94"/>
    <x v="60"/>
    <x v="3"/>
    <x v="0"/>
    <x v="2"/>
    <n v="2"/>
    <n v="29801"/>
    <n v="10833"/>
    <x v="3"/>
    <n v="59602"/>
    <x v="94"/>
  </r>
  <r>
    <x v="95"/>
    <x v="61"/>
    <x v="3"/>
    <x v="4"/>
    <x v="0"/>
    <n v="4"/>
    <n v="7048"/>
    <n v="22800"/>
    <x v="3"/>
    <n v="28192"/>
    <x v="95"/>
  </r>
  <r>
    <x v="96"/>
    <x v="61"/>
    <x v="3"/>
    <x v="0"/>
    <x v="3"/>
    <n v="4"/>
    <n v="31411"/>
    <n v="3307"/>
    <x v="0"/>
    <n v="125644"/>
    <x v="96"/>
  </r>
  <r>
    <x v="97"/>
    <x v="62"/>
    <x v="3"/>
    <x v="1"/>
    <x v="4"/>
    <n v="8"/>
    <n v="74300"/>
    <n v="17376"/>
    <x v="0"/>
    <n v="594400"/>
    <x v="97"/>
  </r>
  <r>
    <x v="98"/>
    <x v="62"/>
    <x v="3"/>
    <x v="1"/>
    <x v="2"/>
    <n v="5"/>
    <n v="49395"/>
    <n v="16352"/>
    <x v="1"/>
    <n v="246975"/>
    <x v="98"/>
  </r>
  <r>
    <x v="99"/>
    <x v="62"/>
    <x v="3"/>
    <x v="2"/>
    <x v="4"/>
    <n v="3"/>
    <n v="75020"/>
    <n v="20446"/>
    <x v="2"/>
    <n v="225060"/>
    <x v="99"/>
  </r>
  <r>
    <x v="100"/>
    <x v="62"/>
    <x v="3"/>
    <x v="4"/>
    <x v="2"/>
    <n v="1"/>
    <n v="74322"/>
    <n v="34340"/>
    <x v="0"/>
    <n v="74322"/>
    <x v="100"/>
  </r>
  <r>
    <x v="101"/>
    <x v="62"/>
    <x v="3"/>
    <x v="5"/>
    <x v="1"/>
    <n v="8"/>
    <n v="14556"/>
    <n v="44936"/>
    <x v="2"/>
    <n v="116448"/>
    <x v="101"/>
  </r>
  <r>
    <x v="102"/>
    <x v="63"/>
    <x v="3"/>
    <x v="5"/>
    <x v="2"/>
    <n v="6"/>
    <n v="16497"/>
    <n v="49781"/>
    <x v="1"/>
    <n v="98982"/>
    <x v="102"/>
  </r>
  <r>
    <x v="103"/>
    <x v="64"/>
    <x v="3"/>
    <x v="4"/>
    <x v="3"/>
    <n v="7"/>
    <n v="55614"/>
    <n v="32358"/>
    <x v="1"/>
    <n v="389298"/>
    <x v="103"/>
  </r>
  <r>
    <x v="104"/>
    <x v="64"/>
    <x v="3"/>
    <x v="0"/>
    <x v="2"/>
    <n v="4"/>
    <n v="21723"/>
    <n v="5135"/>
    <x v="3"/>
    <n v="86892"/>
    <x v="104"/>
  </r>
  <r>
    <x v="105"/>
    <x v="64"/>
    <x v="3"/>
    <x v="3"/>
    <x v="4"/>
    <n v="2"/>
    <n v="54593"/>
    <n v="1155"/>
    <x v="1"/>
    <n v="109186"/>
    <x v="105"/>
  </r>
  <r>
    <x v="106"/>
    <x v="65"/>
    <x v="3"/>
    <x v="5"/>
    <x v="2"/>
    <n v="8"/>
    <n v="25621"/>
    <n v="1282"/>
    <x v="3"/>
    <n v="204968"/>
    <x v="106"/>
  </r>
  <r>
    <x v="107"/>
    <x v="66"/>
    <x v="3"/>
    <x v="1"/>
    <x v="1"/>
    <n v="7"/>
    <n v="48364"/>
    <n v="33262"/>
    <x v="1"/>
    <n v="338548"/>
    <x v="107"/>
  </r>
  <r>
    <x v="108"/>
    <x v="67"/>
    <x v="4"/>
    <x v="3"/>
    <x v="3"/>
    <n v="1"/>
    <n v="37708"/>
    <n v="49689"/>
    <x v="2"/>
    <n v="37708"/>
    <x v="108"/>
  </r>
  <r>
    <x v="109"/>
    <x v="68"/>
    <x v="4"/>
    <x v="4"/>
    <x v="3"/>
    <n v="6"/>
    <n v="28679"/>
    <n v="4750"/>
    <x v="0"/>
    <n v="172074"/>
    <x v="109"/>
  </r>
  <r>
    <x v="110"/>
    <x v="69"/>
    <x v="4"/>
    <x v="1"/>
    <x v="4"/>
    <n v="1"/>
    <n v="46832"/>
    <n v="10369"/>
    <x v="3"/>
    <n v="46832"/>
    <x v="110"/>
  </r>
  <r>
    <x v="111"/>
    <x v="70"/>
    <x v="4"/>
    <x v="3"/>
    <x v="4"/>
    <n v="8"/>
    <n v="50700"/>
    <n v="44617"/>
    <x v="0"/>
    <n v="405600"/>
    <x v="111"/>
  </r>
  <r>
    <x v="112"/>
    <x v="71"/>
    <x v="4"/>
    <x v="4"/>
    <x v="2"/>
    <n v="1"/>
    <n v="5395"/>
    <n v="31314"/>
    <x v="3"/>
    <n v="5395"/>
    <x v="112"/>
  </r>
  <r>
    <x v="113"/>
    <x v="71"/>
    <x v="4"/>
    <x v="3"/>
    <x v="1"/>
    <n v="2"/>
    <n v="69328"/>
    <n v="14565"/>
    <x v="3"/>
    <n v="138656"/>
    <x v="113"/>
  </r>
  <r>
    <x v="114"/>
    <x v="71"/>
    <x v="4"/>
    <x v="1"/>
    <x v="1"/>
    <n v="4"/>
    <n v="36724"/>
    <n v="16036"/>
    <x v="0"/>
    <n v="146896"/>
    <x v="114"/>
  </r>
  <r>
    <x v="115"/>
    <x v="71"/>
    <x v="4"/>
    <x v="4"/>
    <x v="3"/>
    <n v="4"/>
    <n v="65446"/>
    <n v="26215"/>
    <x v="3"/>
    <n v="261784"/>
    <x v="115"/>
  </r>
  <r>
    <x v="116"/>
    <x v="72"/>
    <x v="4"/>
    <x v="1"/>
    <x v="4"/>
    <n v="3"/>
    <n v="36951"/>
    <n v="2651"/>
    <x v="0"/>
    <n v="110853"/>
    <x v="116"/>
  </r>
  <r>
    <x v="117"/>
    <x v="72"/>
    <x v="4"/>
    <x v="3"/>
    <x v="3"/>
    <n v="4"/>
    <n v="42968"/>
    <n v="24648"/>
    <x v="0"/>
    <n v="171872"/>
    <x v="117"/>
  </r>
  <r>
    <x v="118"/>
    <x v="73"/>
    <x v="4"/>
    <x v="0"/>
    <x v="2"/>
    <n v="4"/>
    <n v="32052"/>
    <n v="7171"/>
    <x v="2"/>
    <n v="128208"/>
    <x v="118"/>
  </r>
  <r>
    <x v="119"/>
    <x v="73"/>
    <x v="4"/>
    <x v="2"/>
    <x v="0"/>
    <n v="8"/>
    <n v="71808"/>
    <n v="4648"/>
    <x v="3"/>
    <n v="574464"/>
    <x v="119"/>
  </r>
  <r>
    <x v="120"/>
    <x v="74"/>
    <x v="4"/>
    <x v="0"/>
    <x v="4"/>
    <n v="5"/>
    <n v="8625"/>
    <n v="2724"/>
    <x v="0"/>
    <n v="43125"/>
    <x v="120"/>
  </r>
  <r>
    <x v="121"/>
    <x v="74"/>
    <x v="4"/>
    <x v="4"/>
    <x v="3"/>
    <n v="7"/>
    <n v="23112"/>
    <n v="38900"/>
    <x v="2"/>
    <n v="161784"/>
    <x v="121"/>
  </r>
  <r>
    <x v="122"/>
    <x v="74"/>
    <x v="4"/>
    <x v="5"/>
    <x v="3"/>
    <n v="8"/>
    <n v="54753"/>
    <n v="17370"/>
    <x v="2"/>
    <n v="438024"/>
    <x v="122"/>
  </r>
  <r>
    <x v="123"/>
    <x v="74"/>
    <x v="4"/>
    <x v="3"/>
    <x v="1"/>
    <n v="1"/>
    <n v="5298"/>
    <n v="38711"/>
    <x v="1"/>
    <n v="5298"/>
    <x v="123"/>
  </r>
  <r>
    <x v="124"/>
    <x v="75"/>
    <x v="4"/>
    <x v="4"/>
    <x v="3"/>
    <n v="1"/>
    <n v="73482"/>
    <n v="33591"/>
    <x v="0"/>
    <n v="73482"/>
    <x v="124"/>
  </r>
  <r>
    <x v="125"/>
    <x v="76"/>
    <x v="4"/>
    <x v="4"/>
    <x v="1"/>
    <n v="4"/>
    <n v="31848"/>
    <n v="44241"/>
    <x v="2"/>
    <n v="127392"/>
    <x v="125"/>
  </r>
  <r>
    <x v="126"/>
    <x v="76"/>
    <x v="4"/>
    <x v="2"/>
    <x v="0"/>
    <n v="9"/>
    <n v="24211"/>
    <n v="49998"/>
    <x v="1"/>
    <n v="217899"/>
    <x v="126"/>
  </r>
  <r>
    <x v="127"/>
    <x v="76"/>
    <x v="4"/>
    <x v="1"/>
    <x v="3"/>
    <n v="8"/>
    <n v="70976"/>
    <n v="25217"/>
    <x v="2"/>
    <n v="567808"/>
    <x v="127"/>
  </r>
  <r>
    <x v="128"/>
    <x v="77"/>
    <x v="4"/>
    <x v="5"/>
    <x v="3"/>
    <n v="6"/>
    <n v="32410"/>
    <n v="26051"/>
    <x v="2"/>
    <n v="194460"/>
    <x v="128"/>
  </r>
  <r>
    <x v="129"/>
    <x v="78"/>
    <x v="4"/>
    <x v="5"/>
    <x v="4"/>
    <n v="5"/>
    <n v="4937"/>
    <n v="12929"/>
    <x v="2"/>
    <n v="24685"/>
    <x v="129"/>
  </r>
  <r>
    <x v="130"/>
    <x v="79"/>
    <x v="4"/>
    <x v="2"/>
    <x v="1"/>
    <n v="9"/>
    <n v="65981"/>
    <n v="47026"/>
    <x v="0"/>
    <n v="593829"/>
    <x v="130"/>
  </r>
  <r>
    <x v="131"/>
    <x v="80"/>
    <x v="4"/>
    <x v="3"/>
    <x v="0"/>
    <n v="2"/>
    <n v="57032"/>
    <n v="3285"/>
    <x v="3"/>
    <n v="114064"/>
    <x v="131"/>
  </r>
  <r>
    <x v="132"/>
    <x v="81"/>
    <x v="4"/>
    <x v="0"/>
    <x v="2"/>
    <n v="6"/>
    <n v="1161"/>
    <n v="14975"/>
    <x v="3"/>
    <n v="6966"/>
    <x v="132"/>
  </r>
  <r>
    <x v="133"/>
    <x v="82"/>
    <x v="4"/>
    <x v="0"/>
    <x v="2"/>
    <n v="1"/>
    <n v="43413"/>
    <n v="44039"/>
    <x v="2"/>
    <n v="43413"/>
    <x v="133"/>
  </r>
  <r>
    <x v="134"/>
    <x v="82"/>
    <x v="4"/>
    <x v="5"/>
    <x v="2"/>
    <n v="3"/>
    <n v="70517"/>
    <n v="7411"/>
    <x v="1"/>
    <n v="211551"/>
    <x v="134"/>
  </r>
  <r>
    <x v="135"/>
    <x v="83"/>
    <x v="4"/>
    <x v="4"/>
    <x v="0"/>
    <n v="8"/>
    <n v="42068"/>
    <n v="28624"/>
    <x v="0"/>
    <n v="336544"/>
    <x v="135"/>
  </r>
  <r>
    <x v="136"/>
    <x v="83"/>
    <x v="4"/>
    <x v="4"/>
    <x v="2"/>
    <n v="3"/>
    <n v="54244"/>
    <n v="12531"/>
    <x v="2"/>
    <n v="162732"/>
    <x v="136"/>
  </r>
  <r>
    <x v="137"/>
    <x v="83"/>
    <x v="4"/>
    <x v="4"/>
    <x v="0"/>
    <n v="5"/>
    <n v="43100"/>
    <n v="44553"/>
    <x v="0"/>
    <n v="215500"/>
    <x v="137"/>
  </r>
  <r>
    <x v="138"/>
    <x v="84"/>
    <x v="4"/>
    <x v="1"/>
    <x v="0"/>
    <n v="2"/>
    <n v="62088"/>
    <n v="7519"/>
    <x v="3"/>
    <n v="124176"/>
    <x v="138"/>
  </r>
  <r>
    <x v="139"/>
    <x v="84"/>
    <x v="4"/>
    <x v="2"/>
    <x v="2"/>
    <n v="3"/>
    <n v="47351"/>
    <n v="7823"/>
    <x v="2"/>
    <n v="142053"/>
    <x v="139"/>
  </r>
  <r>
    <x v="140"/>
    <x v="85"/>
    <x v="4"/>
    <x v="4"/>
    <x v="1"/>
    <n v="6"/>
    <n v="36559"/>
    <n v="2376"/>
    <x v="3"/>
    <n v="219354"/>
    <x v="140"/>
  </r>
  <r>
    <x v="141"/>
    <x v="86"/>
    <x v="4"/>
    <x v="3"/>
    <x v="1"/>
    <n v="3"/>
    <n v="28105"/>
    <n v="24128"/>
    <x v="2"/>
    <n v="84315"/>
    <x v="141"/>
  </r>
  <r>
    <x v="142"/>
    <x v="86"/>
    <x v="4"/>
    <x v="2"/>
    <x v="3"/>
    <n v="1"/>
    <n v="58441"/>
    <n v="45898"/>
    <x v="0"/>
    <n v="58441"/>
    <x v="142"/>
  </r>
  <r>
    <x v="143"/>
    <x v="87"/>
    <x v="4"/>
    <x v="5"/>
    <x v="1"/>
    <n v="7"/>
    <n v="27484"/>
    <n v="28044"/>
    <x v="1"/>
    <n v="192388"/>
    <x v="143"/>
  </r>
  <r>
    <x v="144"/>
    <x v="87"/>
    <x v="4"/>
    <x v="4"/>
    <x v="3"/>
    <n v="3"/>
    <n v="77457"/>
    <n v="19745"/>
    <x v="1"/>
    <n v="232371"/>
    <x v="144"/>
  </r>
  <r>
    <x v="145"/>
    <x v="87"/>
    <x v="4"/>
    <x v="1"/>
    <x v="2"/>
    <n v="1"/>
    <n v="29800"/>
    <n v="12116"/>
    <x v="3"/>
    <n v="29800"/>
    <x v="145"/>
  </r>
  <r>
    <x v="146"/>
    <x v="88"/>
    <x v="5"/>
    <x v="2"/>
    <x v="2"/>
    <n v="4"/>
    <n v="33660"/>
    <n v="6906"/>
    <x v="0"/>
    <n v="134640"/>
    <x v="146"/>
  </r>
  <r>
    <x v="147"/>
    <x v="89"/>
    <x v="5"/>
    <x v="5"/>
    <x v="0"/>
    <n v="3"/>
    <n v="52749"/>
    <n v="17044"/>
    <x v="1"/>
    <n v="158247"/>
    <x v="147"/>
  </r>
  <r>
    <x v="148"/>
    <x v="90"/>
    <x v="5"/>
    <x v="2"/>
    <x v="0"/>
    <n v="5"/>
    <n v="64527"/>
    <n v="22953"/>
    <x v="1"/>
    <n v="322635"/>
    <x v="148"/>
  </r>
  <r>
    <x v="149"/>
    <x v="90"/>
    <x v="5"/>
    <x v="1"/>
    <x v="0"/>
    <n v="2"/>
    <n v="25727"/>
    <n v="19710"/>
    <x v="2"/>
    <n v="51454"/>
    <x v="149"/>
  </r>
  <r>
    <x v="150"/>
    <x v="91"/>
    <x v="5"/>
    <x v="3"/>
    <x v="2"/>
    <n v="5"/>
    <n v="11026"/>
    <n v="10067"/>
    <x v="0"/>
    <n v="55130"/>
    <x v="150"/>
  </r>
  <r>
    <x v="151"/>
    <x v="91"/>
    <x v="5"/>
    <x v="4"/>
    <x v="4"/>
    <n v="3"/>
    <n v="73665"/>
    <n v="27928"/>
    <x v="1"/>
    <n v="220995"/>
    <x v="151"/>
  </r>
  <r>
    <x v="152"/>
    <x v="91"/>
    <x v="5"/>
    <x v="3"/>
    <x v="1"/>
    <n v="2"/>
    <n v="32322"/>
    <n v="15357"/>
    <x v="3"/>
    <n v="64644"/>
    <x v="152"/>
  </r>
  <r>
    <x v="153"/>
    <x v="91"/>
    <x v="5"/>
    <x v="0"/>
    <x v="3"/>
    <n v="5"/>
    <n v="53920"/>
    <n v="48657"/>
    <x v="3"/>
    <n v="269600"/>
    <x v="153"/>
  </r>
  <r>
    <x v="154"/>
    <x v="92"/>
    <x v="5"/>
    <x v="3"/>
    <x v="2"/>
    <n v="6"/>
    <n v="29665"/>
    <n v="30806"/>
    <x v="0"/>
    <n v="177990"/>
    <x v="154"/>
  </r>
  <r>
    <x v="155"/>
    <x v="92"/>
    <x v="5"/>
    <x v="2"/>
    <x v="3"/>
    <n v="4"/>
    <n v="37987"/>
    <n v="14937"/>
    <x v="0"/>
    <n v="151948"/>
    <x v="155"/>
  </r>
  <r>
    <x v="156"/>
    <x v="92"/>
    <x v="5"/>
    <x v="0"/>
    <x v="0"/>
    <n v="4"/>
    <n v="74116"/>
    <n v="9438"/>
    <x v="1"/>
    <n v="296464"/>
    <x v="156"/>
  </r>
  <r>
    <x v="157"/>
    <x v="92"/>
    <x v="5"/>
    <x v="0"/>
    <x v="0"/>
    <n v="2"/>
    <n v="14791"/>
    <n v="22447"/>
    <x v="2"/>
    <n v="29582"/>
    <x v="157"/>
  </r>
  <r>
    <x v="158"/>
    <x v="93"/>
    <x v="5"/>
    <x v="2"/>
    <x v="2"/>
    <n v="5"/>
    <n v="55191"/>
    <n v="30197"/>
    <x v="2"/>
    <n v="275955"/>
    <x v="158"/>
  </r>
  <r>
    <x v="159"/>
    <x v="94"/>
    <x v="5"/>
    <x v="2"/>
    <x v="4"/>
    <n v="9"/>
    <n v="18133"/>
    <n v="11028"/>
    <x v="2"/>
    <n v="163197"/>
    <x v="159"/>
  </r>
  <r>
    <x v="160"/>
    <x v="94"/>
    <x v="5"/>
    <x v="1"/>
    <x v="1"/>
    <n v="8"/>
    <n v="51931"/>
    <n v="2283"/>
    <x v="0"/>
    <n v="415448"/>
    <x v="160"/>
  </r>
  <r>
    <x v="161"/>
    <x v="95"/>
    <x v="5"/>
    <x v="2"/>
    <x v="2"/>
    <n v="4"/>
    <n v="65112"/>
    <n v="37727"/>
    <x v="0"/>
    <n v="260448"/>
    <x v="161"/>
  </r>
  <r>
    <x v="162"/>
    <x v="96"/>
    <x v="5"/>
    <x v="4"/>
    <x v="3"/>
    <n v="2"/>
    <n v="5260"/>
    <n v="36851"/>
    <x v="3"/>
    <n v="10520"/>
    <x v="162"/>
  </r>
  <r>
    <x v="163"/>
    <x v="97"/>
    <x v="5"/>
    <x v="0"/>
    <x v="1"/>
    <n v="3"/>
    <n v="23972"/>
    <n v="2529"/>
    <x v="0"/>
    <n v="71916"/>
    <x v="163"/>
  </r>
  <r>
    <x v="164"/>
    <x v="98"/>
    <x v="5"/>
    <x v="0"/>
    <x v="4"/>
    <n v="4"/>
    <n v="52424"/>
    <n v="43815"/>
    <x v="2"/>
    <n v="209696"/>
    <x v="164"/>
  </r>
  <r>
    <x v="165"/>
    <x v="98"/>
    <x v="5"/>
    <x v="1"/>
    <x v="4"/>
    <n v="1"/>
    <n v="46979"/>
    <n v="35742"/>
    <x v="1"/>
    <n v="46979"/>
    <x v="165"/>
  </r>
  <r>
    <x v="166"/>
    <x v="99"/>
    <x v="5"/>
    <x v="1"/>
    <x v="0"/>
    <n v="3"/>
    <n v="45343"/>
    <n v="46603"/>
    <x v="2"/>
    <n v="136029"/>
    <x v="166"/>
  </r>
  <r>
    <x v="167"/>
    <x v="100"/>
    <x v="5"/>
    <x v="2"/>
    <x v="4"/>
    <n v="2"/>
    <n v="62938"/>
    <n v="7397"/>
    <x v="0"/>
    <n v="125876"/>
    <x v="167"/>
  </r>
  <r>
    <x v="168"/>
    <x v="100"/>
    <x v="5"/>
    <x v="5"/>
    <x v="4"/>
    <n v="5"/>
    <n v="35094"/>
    <n v="21644"/>
    <x v="2"/>
    <n v="175470"/>
    <x v="168"/>
  </r>
  <r>
    <x v="169"/>
    <x v="100"/>
    <x v="5"/>
    <x v="5"/>
    <x v="3"/>
    <n v="8"/>
    <n v="17847"/>
    <n v="14140"/>
    <x v="3"/>
    <n v="142776"/>
    <x v="169"/>
  </r>
  <r>
    <x v="170"/>
    <x v="100"/>
    <x v="5"/>
    <x v="0"/>
    <x v="4"/>
    <n v="4"/>
    <n v="47357"/>
    <n v="34866"/>
    <x v="0"/>
    <n v="189428"/>
    <x v="170"/>
  </r>
  <r>
    <x v="171"/>
    <x v="101"/>
    <x v="5"/>
    <x v="3"/>
    <x v="0"/>
    <n v="7"/>
    <n v="57349"/>
    <n v="45333"/>
    <x v="0"/>
    <n v="401443"/>
    <x v="171"/>
  </r>
  <r>
    <x v="172"/>
    <x v="102"/>
    <x v="5"/>
    <x v="1"/>
    <x v="4"/>
    <n v="3"/>
    <n v="9427"/>
    <n v="40213"/>
    <x v="1"/>
    <n v="28281"/>
    <x v="172"/>
  </r>
  <r>
    <x v="173"/>
    <x v="103"/>
    <x v="5"/>
    <x v="5"/>
    <x v="2"/>
    <n v="7"/>
    <n v="28582"/>
    <n v="33220"/>
    <x v="0"/>
    <n v="200074"/>
    <x v="173"/>
  </r>
  <r>
    <x v="174"/>
    <x v="104"/>
    <x v="5"/>
    <x v="4"/>
    <x v="0"/>
    <n v="7"/>
    <n v="36878"/>
    <n v="30312"/>
    <x v="3"/>
    <n v="258146"/>
    <x v="174"/>
  </r>
  <r>
    <x v="175"/>
    <x v="105"/>
    <x v="5"/>
    <x v="3"/>
    <x v="0"/>
    <n v="2"/>
    <n v="40961"/>
    <n v="43891"/>
    <x v="0"/>
    <n v="81922"/>
    <x v="175"/>
  </r>
  <r>
    <x v="176"/>
    <x v="106"/>
    <x v="5"/>
    <x v="2"/>
    <x v="3"/>
    <n v="3"/>
    <n v="27306"/>
    <n v="23433"/>
    <x v="1"/>
    <n v="81918"/>
    <x v="176"/>
  </r>
  <r>
    <x v="177"/>
    <x v="107"/>
    <x v="6"/>
    <x v="5"/>
    <x v="4"/>
    <n v="8"/>
    <n v="34113"/>
    <n v="13924"/>
    <x v="2"/>
    <n v="272904"/>
    <x v="177"/>
  </r>
  <r>
    <x v="178"/>
    <x v="108"/>
    <x v="6"/>
    <x v="0"/>
    <x v="0"/>
    <n v="4"/>
    <n v="26092"/>
    <n v="28037"/>
    <x v="1"/>
    <n v="104368"/>
    <x v="178"/>
  </r>
  <r>
    <x v="179"/>
    <x v="108"/>
    <x v="6"/>
    <x v="3"/>
    <x v="3"/>
    <n v="7"/>
    <n v="30484"/>
    <n v="33316"/>
    <x v="1"/>
    <n v="213388"/>
    <x v="179"/>
  </r>
  <r>
    <x v="180"/>
    <x v="108"/>
    <x v="6"/>
    <x v="3"/>
    <x v="0"/>
    <n v="9"/>
    <n v="25532"/>
    <n v="10283"/>
    <x v="3"/>
    <n v="229788"/>
    <x v="180"/>
  </r>
  <r>
    <x v="181"/>
    <x v="109"/>
    <x v="6"/>
    <x v="5"/>
    <x v="0"/>
    <n v="3"/>
    <n v="28223"/>
    <n v="45522"/>
    <x v="3"/>
    <n v="84669"/>
    <x v="181"/>
  </r>
  <r>
    <x v="182"/>
    <x v="109"/>
    <x v="6"/>
    <x v="5"/>
    <x v="1"/>
    <n v="6"/>
    <n v="65929"/>
    <n v="14428"/>
    <x v="1"/>
    <n v="395574"/>
    <x v="182"/>
  </r>
  <r>
    <x v="183"/>
    <x v="109"/>
    <x v="6"/>
    <x v="4"/>
    <x v="0"/>
    <n v="2"/>
    <n v="70619"/>
    <n v="10127"/>
    <x v="1"/>
    <n v="141238"/>
    <x v="183"/>
  </r>
  <r>
    <x v="184"/>
    <x v="110"/>
    <x v="6"/>
    <x v="0"/>
    <x v="0"/>
    <n v="3"/>
    <n v="66338"/>
    <n v="14057"/>
    <x v="3"/>
    <n v="199014"/>
    <x v="184"/>
  </r>
  <r>
    <x v="185"/>
    <x v="111"/>
    <x v="6"/>
    <x v="2"/>
    <x v="4"/>
    <n v="1"/>
    <n v="36143"/>
    <n v="35196"/>
    <x v="0"/>
    <n v="36143"/>
    <x v="185"/>
  </r>
  <r>
    <x v="186"/>
    <x v="111"/>
    <x v="6"/>
    <x v="4"/>
    <x v="3"/>
    <n v="6"/>
    <n v="19243"/>
    <n v="17029"/>
    <x v="3"/>
    <n v="115458"/>
    <x v="186"/>
  </r>
  <r>
    <x v="187"/>
    <x v="111"/>
    <x v="6"/>
    <x v="1"/>
    <x v="1"/>
    <n v="2"/>
    <n v="10215"/>
    <n v="39328"/>
    <x v="3"/>
    <n v="20430"/>
    <x v="187"/>
  </r>
  <r>
    <x v="188"/>
    <x v="112"/>
    <x v="6"/>
    <x v="1"/>
    <x v="2"/>
    <n v="9"/>
    <n v="43152"/>
    <n v="28766"/>
    <x v="3"/>
    <n v="388368"/>
    <x v="188"/>
  </r>
  <r>
    <x v="189"/>
    <x v="112"/>
    <x v="6"/>
    <x v="0"/>
    <x v="4"/>
    <n v="9"/>
    <n v="55919"/>
    <n v="2958"/>
    <x v="1"/>
    <n v="503271"/>
    <x v="189"/>
  </r>
  <r>
    <x v="190"/>
    <x v="113"/>
    <x v="6"/>
    <x v="4"/>
    <x v="1"/>
    <n v="1"/>
    <n v="66524"/>
    <n v="40019"/>
    <x v="1"/>
    <n v="66524"/>
    <x v="190"/>
  </r>
  <r>
    <x v="191"/>
    <x v="113"/>
    <x v="6"/>
    <x v="3"/>
    <x v="4"/>
    <n v="8"/>
    <n v="62058"/>
    <n v="14230"/>
    <x v="2"/>
    <n v="496464"/>
    <x v="191"/>
  </r>
  <r>
    <x v="192"/>
    <x v="114"/>
    <x v="6"/>
    <x v="2"/>
    <x v="3"/>
    <n v="3"/>
    <n v="20781"/>
    <n v="32852"/>
    <x v="0"/>
    <n v="62343"/>
    <x v="192"/>
  </r>
  <r>
    <x v="193"/>
    <x v="115"/>
    <x v="6"/>
    <x v="1"/>
    <x v="4"/>
    <n v="7"/>
    <n v="61420"/>
    <n v="24172"/>
    <x v="1"/>
    <n v="429940"/>
    <x v="193"/>
  </r>
  <r>
    <x v="194"/>
    <x v="116"/>
    <x v="6"/>
    <x v="5"/>
    <x v="1"/>
    <n v="3"/>
    <n v="65477"/>
    <n v="12918"/>
    <x v="2"/>
    <n v="196431"/>
    <x v="194"/>
  </r>
  <r>
    <x v="195"/>
    <x v="116"/>
    <x v="6"/>
    <x v="2"/>
    <x v="3"/>
    <n v="2"/>
    <n v="47159"/>
    <n v="47136"/>
    <x v="1"/>
    <n v="94318"/>
    <x v="195"/>
  </r>
  <r>
    <x v="196"/>
    <x v="116"/>
    <x v="6"/>
    <x v="3"/>
    <x v="3"/>
    <n v="4"/>
    <n v="72646"/>
    <n v="2727"/>
    <x v="2"/>
    <n v="290584"/>
    <x v="196"/>
  </r>
  <r>
    <x v="197"/>
    <x v="117"/>
    <x v="6"/>
    <x v="4"/>
    <x v="3"/>
    <n v="9"/>
    <n v="23812"/>
    <n v="40961"/>
    <x v="3"/>
    <n v="214308"/>
    <x v="197"/>
  </r>
  <r>
    <x v="198"/>
    <x v="118"/>
    <x v="6"/>
    <x v="0"/>
    <x v="3"/>
    <n v="5"/>
    <n v="58493"/>
    <n v="15472"/>
    <x v="2"/>
    <n v="292465"/>
    <x v="198"/>
  </r>
  <r>
    <x v="199"/>
    <x v="118"/>
    <x v="6"/>
    <x v="3"/>
    <x v="0"/>
    <n v="1"/>
    <n v="50341"/>
    <n v="13819"/>
    <x v="1"/>
    <n v="50341"/>
    <x v="199"/>
  </r>
  <r>
    <x v="200"/>
    <x v="119"/>
    <x v="6"/>
    <x v="1"/>
    <x v="2"/>
    <n v="6"/>
    <n v="64657"/>
    <n v="4586"/>
    <x v="2"/>
    <n v="387942"/>
    <x v="200"/>
  </r>
  <r>
    <x v="201"/>
    <x v="120"/>
    <x v="6"/>
    <x v="3"/>
    <x v="3"/>
    <n v="9"/>
    <n v="74770"/>
    <n v="13722"/>
    <x v="2"/>
    <n v="672930"/>
    <x v="201"/>
  </r>
  <r>
    <x v="202"/>
    <x v="121"/>
    <x v="6"/>
    <x v="5"/>
    <x v="4"/>
    <n v="1"/>
    <n v="56588"/>
    <n v="2013"/>
    <x v="2"/>
    <n v="56588"/>
    <x v="202"/>
  </r>
  <r>
    <x v="203"/>
    <x v="122"/>
    <x v="6"/>
    <x v="1"/>
    <x v="2"/>
    <n v="7"/>
    <n v="72740"/>
    <n v="49709"/>
    <x v="1"/>
    <n v="509180"/>
    <x v="203"/>
  </r>
  <r>
    <x v="204"/>
    <x v="123"/>
    <x v="6"/>
    <x v="5"/>
    <x v="3"/>
    <n v="2"/>
    <n v="6941"/>
    <n v="44922"/>
    <x v="2"/>
    <n v="13882"/>
    <x v="204"/>
  </r>
  <r>
    <x v="205"/>
    <x v="123"/>
    <x v="6"/>
    <x v="1"/>
    <x v="1"/>
    <n v="6"/>
    <n v="11134"/>
    <n v="20206"/>
    <x v="2"/>
    <n v="66804"/>
    <x v="205"/>
  </r>
  <r>
    <x v="206"/>
    <x v="123"/>
    <x v="6"/>
    <x v="0"/>
    <x v="4"/>
    <n v="5"/>
    <n v="29102"/>
    <n v="34691"/>
    <x v="2"/>
    <n v="145510"/>
    <x v="206"/>
  </r>
  <r>
    <x v="207"/>
    <x v="124"/>
    <x v="6"/>
    <x v="4"/>
    <x v="0"/>
    <n v="3"/>
    <n v="74672"/>
    <n v="29731"/>
    <x v="1"/>
    <n v="224016"/>
    <x v="207"/>
  </r>
  <r>
    <x v="208"/>
    <x v="125"/>
    <x v="7"/>
    <x v="2"/>
    <x v="3"/>
    <n v="3"/>
    <n v="52001"/>
    <n v="36525"/>
    <x v="0"/>
    <n v="156003"/>
    <x v="208"/>
  </r>
  <r>
    <x v="209"/>
    <x v="126"/>
    <x v="7"/>
    <x v="5"/>
    <x v="1"/>
    <n v="7"/>
    <n v="31159"/>
    <n v="27062"/>
    <x v="2"/>
    <n v="218113"/>
    <x v="209"/>
  </r>
  <r>
    <x v="210"/>
    <x v="126"/>
    <x v="7"/>
    <x v="3"/>
    <x v="4"/>
    <n v="8"/>
    <n v="64146"/>
    <n v="44543"/>
    <x v="2"/>
    <n v="513168"/>
    <x v="210"/>
  </r>
  <r>
    <x v="211"/>
    <x v="127"/>
    <x v="7"/>
    <x v="3"/>
    <x v="3"/>
    <n v="5"/>
    <n v="32617"/>
    <n v="47698"/>
    <x v="2"/>
    <n v="163085"/>
    <x v="211"/>
  </r>
  <r>
    <x v="212"/>
    <x v="128"/>
    <x v="7"/>
    <x v="1"/>
    <x v="4"/>
    <n v="5"/>
    <n v="14173"/>
    <n v="22817"/>
    <x v="0"/>
    <n v="70865"/>
    <x v="212"/>
  </r>
  <r>
    <x v="213"/>
    <x v="129"/>
    <x v="7"/>
    <x v="4"/>
    <x v="0"/>
    <n v="4"/>
    <n v="13967"/>
    <n v="3563"/>
    <x v="0"/>
    <n v="55868"/>
    <x v="213"/>
  </r>
  <r>
    <x v="214"/>
    <x v="129"/>
    <x v="7"/>
    <x v="4"/>
    <x v="2"/>
    <n v="1"/>
    <n v="14710"/>
    <n v="23436"/>
    <x v="1"/>
    <n v="14710"/>
    <x v="214"/>
  </r>
  <r>
    <x v="215"/>
    <x v="129"/>
    <x v="7"/>
    <x v="2"/>
    <x v="1"/>
    <n v="5"/>
    <n v="17420"/>
    <n v="18921"/>
    <x v="0"/>
    <n v="87100"/>
    <x v="215"/>
  </r>
  <r>
    <x v="216"/>
    <x v="130"/>
    <x v="7"/>
    <x v="1"/>
    <x v="0"/>
    <n v="9"/>
    <n v="31555"/>
    <n v="24481"/>
    <x v="3"/>
    <n v="283995"/>
    <x v="216"/>
  </r>
  <r>
    <x v="217"/>
    <x v="130"/>
    <x v="7"/>
    <x v="1"/>
    <x v="3"/>
    <n v="2"/>
    <n v="35464"/>
    <n v="40864"/>
    <x v="3"/>
    <n v="70928"/>
    <x v="217"/>
  </r>
  <r>
    <x v="218"/>
    <x v="131"/>
    <x v="7"/>
    <x v="5"/>
    <x v="3"/>
    <n v="1"/>
    <n v="5749"/>
    <n v="8531"/>
    <x v="1"/>
    <n v="5749"/>
    <x v="218"/>
  </r>
  <r>
    <x v="219"/>
    <x v="132"/>
    <x v="7"/>
    <x v="0"/>
    <x v="1"/>
    <n v="7"/>
    <n v="49258"/>
    <n v="48246"/>
    <x v="1"/>
    <n v="344806"/>
    <x v="219"/>
  </r>
  <r>
    <x v="220"/>
    <x v="133"/>
    <x v="7"/>
    <x v="4"/>
    <x v="2"/>
    <n v="6"/>
    <n v="11638"/>
    <n v="46232"/>
    <x v="2"/>
    <n v="69828"/>
    <x v="220"/>
  </r>
  <r>
    <x v="221"/>
    <x v="134"/>
    <x v="7"/>
    <x v="2"/>
    <x v="3"/>
    <n v="2"/>
    <n v="19669"/>
    <n v="16892"/>
    <x v="1"/>
    <n v="39338"/>
    <x v="221"/>
  </r>
  <r>
    <x v="222"/>
    <x v="134"/>
    <x v="7"/>
    <x v="1"/>
    <x v="1"/>
    <n v="6"/>
    <n v="62429"/>
    <n v="46951"/>
    <x v="2"/>
    <n v="374574"/>
    <x v="222"/>
  </r>
  <r>
    <x v="223"/>
    <x v="134"/>
    <x v="7"/>
    <x v="2"/>
    <x v="1"/>
    <n v="5"/>
    <n v="35798"/>
    <n v="22008"/>
    <x v="2"/>
    <n v="178990"/>
    <x v="223"/>
  </r>
  <r>
    <x v="224"/>
    <x v="135"/>
    <x v="7"/>
    <x v="5"/>
    <x v="2"/>
    <n v="1"/>
    <n v="79315"/>
    <n v="1587"/>
    <x v="0"/>
    <n v="79315"/>
    <x v="224"/>
  </r>
  <r>
    <x v="225"/>
    <x v="136"/>
    <x v="7"/>
    <x v="5"/>
    <x v="3"/>
    <n v="2"/>
    <n v="34393"/>
    <n v="24284"/>
    <x v="0"/>
    <n v="68786"/>
    <x v="225"/>
  </r>
  <r>
    <x v="226"/>
    <x v="136"/>
    <x v="7"/>
    <x v="3"/>
    <x v="1"/>
    <n v="2"/>
    <n v="53852"/>
    <n v="26188"/>
    <x v="2"/>
    <n v="107704"/>
    <x v="226"/>
  </r>
  <r>
    <x v="227"/>
    <x v="137"/>
    <x v="7"/>
    <x v="1"/>
    <x v="0"/>
    <n v="8"/>
    <n v="28638"/>
    <n v="27475"/>
    <x v="3"/>
    <n v="229104"/>
    <x v="227"/>
  </r>
  <r>
    <x v="228"/>
    <x v="138"/>
    <x v="7"/>
    <x v="2"/>
    <x v="2"/>
    <n v="2"/>
    <n v="16514"/>
    <n v="35501"/>
    <x v="1"/>
    <n v="33028"/>
    <x v="228"/>
  </r>
  <r>
    <x v="229"/>
    <x v="138"/>
    <x v="7"/>
    <x v="0"/>
    <x v="0"/>
    <n v="2"/>
    <n v="57049"/>
    <n v="44619"/>
    <x v="2"/>
    <n v="114098"/>
    <x v="229"/>
  </r>
  <r>
    <x v="230"/>
    <x v="138"/>
    <x v="7"/>
    <x v="1"/>
    <x v="1"/>
    <n v="8"/>
    <n v="10186"/>
    <n v="8710"/>
    <x v="2"/>
    <n v="81488"/>
    <x v="230"/>
  </r>
  <r>
    <x v="231"/>
    <x v="138"/>
    <x v="7"/>
    <x v="1"/>
    <x v="2"/>
    <n v="7"/>
    <n v="65561"/>
    <n v="19681"/>
    <x v="3"/>
    <n v="458927"/>
    <x v="231"/>
  </r>
  <r>
    <x v="232"/>
    <x v="139"/>
    <x v="7"/>
    <x v="0"/>
    <x v="2"/>
    <n v="2"/>
    <n v="43185"/>
    <n v="8927"/>
    <x v="1"/>
    <n v="86370"/>
    <x v="232"/>
  </r>
  <r>
    <x v="233"/>
    <x v="139"/>
    <x v="7"/>
    <x v="3"/>
    <x v="1"/>
    <n v="8"/>
    <n v="32250"/>
    <n v="30055"/>
    <x v="2"/>
    <n v="258000"/>
    <x v="233"/>
  </r>
  <r>
    <x v="234"/>
    <x v="139"/>
    <x v="7"/>
    <x v="4"/>
    <x v="4"/>
    <n v="9"/>
    <n v="663"/>
    <n v="30139"/>
    <x v="3"/>
    <n v="5967"/>
    <x v="234"/>
  </r>
  <r>
    <x v="235"/>
    <x v="139"/>
    <x v="7"/>
    <x v="5"/>
    <x v="2"/>
    <n v="6"/>
    <n v="61203"/>
    <n v="12101"/>
    <x v="2"/>
    <n v="367218"/>
    <x v="235"/>
  </r>
  <r>
    <x v="236"/>
    <x v="140"/>
    <x v="7"/>
    <x v="2"/>
    <x v="0"/>
    <n v="9"/>
    <n v="25669"/>
    <n v="6432"/>
    <x v="2"/>
    <n v="231021"/>
    <x v="236"/>
  </r>
  <r>
    <x v="237"/>
    <x v="141"/>
    <x v="7"/>
    <x v="1"/>
    <x v="0"/>
    <n v="3"/>
    <n v="73797"/>
    <n v="26860"/>
    <x v="3"/>
    <n v="221391"/>
    <x v="237"/>
  </r>
  <r>
    <x v="238"/>
    <x v="142"/>
    <x v="7"/>
    <x v="5"/>
    <x v="0"/>
    <n v="9"/>
    <n v="25111"/>
    <n v="45848"/>
    <x v="1"/>
    <n v="225999"/>
    <x v="238"/>
  </r>
  <r>
    <x v="239"/>
    <x v="142"/>
    <x v="7"/>
    <x v="4"/>
    <x v="4"/>
    <n v="3"/>
    <n v="53863"/>
    <n v="2619"/>
    <x v="0"/>
    <n v="161589"/>
    <x v="239"/>
  </r>
  <r>
    <x v="240"/>
    <x v="143"/>
    <x v="7"/>
    <x v="0"/>
    <x v="4"/>
    <n v="5"/>
    <n v="70567"/>
    <n v="31090"/>
    <x v="2"/>
    <n v="352835"/>
    <x v="240"/>
  </r>
  <r>
    <x v="241"/>
    <x v="144"/>
    <x v="7"/>
    <x v="0"/>
    <x v="1"/>
    <n v="2"/>
    <n v="79864"/>
    <n v="38823"/>
    <x v="3"/>
    <n v="159728"/>
    <x v="241"/>
  </r>
  <r>
    <x v="242"/>
    <x v="145"/>
    <x v="7"/>
    <x v="2"/>
    <x v="0"/>
    <n v="7"/>
    <n v="35003"/>
    <n v="43821"/>
    <x v="0"/>
    <n v="245021"/>
    <x v="242"/>
  </r>
  <r>
    <x v="243"/>
    <x v="146"/>
    <x v="7"/>
    <x v="2"/>
    <x v="0"/>
    <n v="7"/>
    <n v="12063"/>
    <n v="16379"/>
    <x v="0"/>
    <n v="84441"/>
    <x v="243"/>
  </r>
  <r>
    <x v="244"/>
    <x v="147"/>
    <x v="7"/>
    <x v="3"/>
    <x v="2"/>
    <n v="4"/>
    <n v="29482"/>
    <n v="10557"/>
    <x v="1"/>
    <n v="117928"/>
    <x v="244"/>
  </r>
  <r>
    <x v="245"/>
    <x v="148"/>
    <x v="7"/>
    <x v="4"/>
    <x v="3"/>
    <n v="7"/>
    <n v="26037"/>
    <n v="32656"/>
    <x v="2"/>
    <n v="182259"/>
    <x v="245"/>
  </r>
  <r>
    <x v="246"/>
    <x v="149"/>
    <x v="8"/>
    <x v="1"/>
    <x v="3"/>
    <n v="9"/>
    <n v="8467"/>
    <n v="1097"/>
    <x v="0"/>
    <n v="76203"/>
    <x v="246"/>
  </r>
  <r>
    <x v="247"/>
    <x v="150"/>
    <x v="8"/>
    <x v="3"/>
    <x v="4"/>
    <n v="4"/>
    <n v="4154"/>
    <n v="1161"/>
    <x v="0"/>
    <n v="16616"/>
    <x v="247"/>
  </r>
  <r>
    <x v="248"/>
    <x v="150"/>
    <x v="8"/>
    <x v="5"/>
    <x v="2"/>
    <n v="5"/>
    <n v="77166"/>
    <n v="38861"/>
    <x v="1"/>
    <n v="385830"/>
    <x v="248"/>
  </r>
  <r>
    <x v="249"/>
    <x v="150"/>
    <x v="8"/>
    <x v="1"/>
    <x v="0"/>
    <n v="6"/>
    <n v="71484"/>
    <n v="11983"/>
    <x v="3"/>
    <n v="428904"/>
    <x v="249"/>
  </r>
  <r>
    <x v="250"/>
    <x v="150"/>
    <x v="8"/>
    <x v="4"/>
    <x v="1"/>
    <n v="3"/>
    <n v="63146"/>
    <n v="3551"/>
    <x v="3"/>
    <n v="189438"/>
    <x v="250"/>
  </r>
  <r>
    <x v="251"/>
    <x v="151"/>
    <x v="8"/>
    <x v="3"/>
    <x v="0"/>
    <n v="9"/>
    <n v="36821"/>
    <n v="23656"/>
    <x v="2"/>
    <n v="331389"/>
    <x v="251"/>
  </r>
  <r>
    <x v="252"/>
    <x v="151"/>
    <x v="8"/>
    <x v="4"/>
    <x v="3"/>
    <n v="2"/>
    <n v="49645"/>
    <n v="11693"/>
    <x v="3"/>
    <n v="99290"/>
    <x v="252"/>
  </r>
  <r>
    <x v="253"/>
    <x v="152"/>
    <x v="8"/>
    <x v="2"/>
    <x v="3"/>
    <n v="6"/>
    <n v="59853"/>
    <n v="23447"/>
    <x v="1"/>
    <n v="359118"/>
    <x v="253"/>
  </r>
  <r>
    <x v="254"/>
    <x v="152"/>
    <x v="8"/>
    <x v="0"/>
    <x v="1"/>
    <n v="5"/>
    <n v="64541"/>
    <n v="21074"/>
    <x v="2"/>
    <n v="322705"/>
    <x v="254"/>
  </r>
  <r>
    <x v="255"/>
    <x v="153"/>
    <x v="8"/>
    <x v="5"/>
    <x v="3"/>
    <n v="9"/>
    <n v="16956"/>
    <n v="43963"/>
    <x v="0"/>
    <n v="152604"/>
    <x v="255"/>
  </r>
  <r>
    <x v="256"/>
    <x v="153"/>
    <x v="8"/>
    <x v="1"/>
    <x v="0"/>
    <n v="8"/>
    <n v="55599"/>
    <n v="9535"/>
    <x v="0"/>
    <n v="444792"/>
    <x v="256"/>
  </r>
  <r>
    <x v="257"/>
    <x v="154"/>
    <x v="8"/>
    <x v="1"/>
    <x v="3"/>
    <n v="7"/>
    <n v="47304"/>
    <n v="37598"/>
    <x v="3"/>
    <n v="331128"/>
    <x v="257"/>
  </r>
  <r>
    <x v="258"/>
    <x v="155"/>
    <x v="8"/>
    <x v="2"/>
    <x v="2"/>
    <n v="3"/>
    <n v="12823"/>
    <n v="30252"/>
    <x v="2"/>
    <n v="38469"/>
    <x v="258"/>
  </r>
  <r>
    <x v="259"/>
    <x v="156"/>
    <x v="8"/>
    <x v="4"/>
    <x v="2"/>
    <n v="8"/>
    <n v="17587"/>
    <n v="9894"/>
    <x v="2"/>
    <n v="140696"/>
    <x v="259"/>
  </r>
  <r>
    <x v="260"/>
    <x v="157"/>
    <x v="8"/>
    <x v="1"/>
    <x v="4"/>
    <n v="4"/>
    <n v="18573"/>
    <n v="49330"/>
    <x v="2"/>
    <n v="74292"/>
    <x v="260"/>
  </r>
  <r>
    <x v="261"/>
    <x v="157"/>
    <x v="8"/>
    <x v="1"/>
    <x v="2"/>
    <n v="7"/>
    <n v="30294"/>
    <n v="6774"/>
    <x v="3"/>
    <n v="212058"/>
    <x v="261"/>
  </r>
  <r>
    <x v="262"/>
    <x v="158"/>
    <x v="8"/>
    <x v="1"/>
    <x v="1"/>
    <n v="5"/>
    <n v="7651"/>
    <n v="34848"/>
    <x v="1"/>
    <n v="38255"/>
    <x v="262"/>
  </r>
  <r>
    <x v="263"/>
    <x v="159"/>
    <x v="8"/>
    <x v="1"/>
    <x v="4"/>
    <n v="3"/>
    <n v="77731"/>
    <n v="31447"/>
    <x v="3"/>
    <n v="233193"/>
    <x v="263"/>
  </r>
  <r>
    <x v="264"/>
    <x v="160"/>
    <x v="8"/>
    <x v="4"/>
    <x v="4"/>
    <n v="9"/>
    <n v="62449"/>
    <n v="30450"/>
    <x v="2"/>
    <n v="562041"/>
    <x v="264"/>
  </r>
  <r>
    <x v="265"/>
    <x v="161"/>
    <x v="8"/>
    <x v="4"/>
    <x v="0"/>
    <n v="7"/>
    <n v="70467"/>
    <n v="43003"/>
    <x v="1"/>
    <n v="493269"/>
    <x v="265"/>
  </r>
  <r>
    <x v="266"/>
    <x v="161"/>
    <x v="8"/>
    <x v="0"/>
    <x v="4"/>
    <n v="3"/>
    <n v="47741"/>
    <n v="47305"/>
    <x v="3"/>
    <n v="143223"/>
    <x v="266"/>
  </r>
  <r>
    <x v="267"/>
    <x v="162"/>
    <x v="8"/>
    <x v="0"/>
    <x v="1"/>
    <n v="2"/>
    <n v="47319"/>
    <n v="37751"/>
    <x v="1"/>
    <n v="94638"/>
    <x v="267"/>
  </r>
  <r>
    <x v="268"/>
    <x v="163"/>
    <x v="8"/>
    <x v="2"/>
    <x v="4"/>
    <n v="7"/>
    <n v="32871"/>
    <n v="42971"/>
    <x v="3"/>
    <n v="230097"/>
    <x v="268"/>
  </r>
  <r>
    <x v="269"/>
    <x v="164"/>
    <x v="8"/>
    <x v="5"/>
    <x v="0"/>
    <n v="8"/>
    <n v="27713"/>
    <n v="4471"/>
    <x v="0"/>
    <n v="221704"/>
    <x v="269"/>
  </r>
  <r>
    <x v="270"/>
    <x v="164"/>
    <x v="8"/>
    <x v="5"/>
    <x v="0"/>
    <n v="2"/>
    <n v="21109"/>
    <n v="30300"/>
    <x v="0"/>
    <n v="42218"/>
    <x v="270"/>
  </r>
  <r>
    <x v="271"/>
    <x v="165"/>
    <x v="8"/>
    <x v="1"/>
    <x v="0"/>
    <n v="8"/>
    <n v="44096"/>
    <n v="24225"/>
    <x v="3"/>
    <n v="352768"/>
    <x v="271"/>
  </r>
  <r>
    <x v="272"/>
    <x v="166"/>
    <x v="8"/>
    <x v="5"/>
    <x v="3"/>
    <n v="3"/>
    <n v="29125"/>
    <n v="29444"/>
    <x v="3"/>
    <n v="87375"/>
    <x v="272"/>
  </r>
  <r>
    <x v="273"/>
    <x v="166"/>
    <x v="8"/>
    <x v="3"/>
    <x v="2"/>
    <n v="7"/>
    <n v="78214"/>
    <n v="4081"/>
    <x v="1"/>
    <n v="547498"/>
    <x v="273"/>
  </r>
  <r>
    <x v="274"/>
    <x v="166"/>
    <x v="8"/>
    <x v="1"/>
    <x v="2"/>
    <n v="7"/>
    <n v="49213"/>
    <n v="28523"/>
    <x v="3"/>
    <n v="344491"/>
    <x v="274"/>
  </r>
  <r>
    <x v="275"/>
    <x v="167"/>
    <x v="8"/>
    <x v="1"/>
    <x v="0"/>
    <n v="1"/>
    <n v="33279"/>
    <n v="27832"/>
    <x v="0"/>
    <n v="33279"/>
    <x v="275"/>
  </r>
  <r>
    <x v="276"/>
    <x v="168"/>
    <x v="9"/>
    <x v="5"/>
    <x v="1"/>
    <n v="5"/>
    <n v="26423"/>
    <n v="37068"/>
    <x v="0"/>
    <n v="132115"/>
    <x v="276"/>
  </r>
  <r>
    <x v="277"/>
    <x v="168"/>
    <x v="9"/>
    <x v="0"/>
    <x v="0"/>
    <n v="5"/>
    <n v="48184"/>
    <n v="10752"/>
    <x v="0"/>
    <n v="240920"/>
    <x v="277"/>
  </r>
  <r>
    <x v="278"/>
    <x v="168"/>
    <x v="9"/>
    <x v="5"/>
    <x v="3"/>
    <n v="5"/>
    <n v="39779"/>
    <n v="13763"/>
    <x v="0"/>
    <n v="198895"/>
    <x v="278"/>
  </r>
  <r>
    <x v="279"/>
    <x v="169"/>
    <x v="9"/>
    <x v="3"/>
    <x v="3"/>
    <n v="8"/>
    <n v="71531"/>
    <n v="43092"/>
    <x v="1"/>
    <n v="572248"/>
    <x v="279"/>
  </r>
  <r>
    <x v="280"/>
    <x v="169"/>
    <x v="9"/>
    <x v="0"/>
    <x v="2"/>
    <n v="1"/>
    <n v="78713"/>
    <n v="31651"/>
    <x v="1"/>
    <n v="78713"/>
    <x v="280"/>
  </r>
  <r>
    <x v="281"/>
    <x v="169"/>
    <x v="9"/>
    <x v="5"/>
    <x v="3"/>
    <n v="5"/>
    <n v="58366"/>
    <n v="33602"/>
    <x v="3"/>
    <n v="291830"/>
    <x v="281"/>
  </r>
  <r>
    <x v="282"/>
    <x v="169"/>
    <x v="9"/>
    <x v="1"/>
    <x v="0"/>
    <n v="8"/>
    <n v="28544"/>
    <n v="9179"/>
    <x v="1"/>
    <n v="228352"/>
    <x v="282"/>
  </r>
  <r>
    <x v="283"/>
    <x v="170"/>
    <x v="9"/>
    <x v="0"/>
    <x v="0"/>
    <n v="4"/>
    <n v="78294"/>
    <n v="34209"/>
    <x v="1"/>
    <n v="313176"/>
    <x v="283"/>
  </r>
  <r>
    <x v="284"/>
    <x v="171"/>
    <x v="9"/>
    <x v="1"/>
    <x v="4"/>
    <n v="4"/>
    <n v="10606"/>
    <n v="26279"/>
    <x v="3"/>
    <n v="42424"/>
    <x v="284"/>
  </r>
  <r>
    <x v="285"/>
    <x v="171"/>
    <x v="9"/>
    <x v="4"/>
    <x v="4"/>
    <n v="3"/>
    <n v="36085"/>
    <n v="37768"/>
    <x v="1"/>
    <n v="108255"/>
    <x v="285"/>
  </r>
  <r>
    <x v="286"/>
    <x v="171"/>
    <x v="9"/>
    <x v="5"/>
    <x v="2"/>
    <n v="6"/>
    <n v="43033"/>
    <n v="47037"/>
    <x v="0"/>
    <n v="258198"/>
    <x v="286"/>
  </r>
  <r>
    <x v="287"/>
    <x v="172"/>
    <x v="9"/>
    <x v="0"/>
    <x v="3"/>
    <n v="2"/>
    <n v="69119"/>
    <n v="38766"/>
    <x v="1"/>
    <n v="138238"/>
    <x v="287"/>
  </r>
  <r>
    <x v="288"/>
    <x v="172"/>
    <x v="9"/>
    <x v="4"/>
    <x v="1"/>
    <n v="6"/>
    <n v="56422"/>
    <n v="29047"/>
    <x v="0"/>
    <n v="338532"/>
    <x v="288"/>
  </r>
  <r>
    <x v="289"/>
    <x v="172"/>
    <x v="9"/>
    <x v="3"/>
    <x v="1"/>
    <n v="1"/>
    <n v="61563"/>
    <n v="37116"/>
    <x v="2"/>
    <n v="61563"/>
    <x v="289"/>
  </r>
  <r>
    <x v="290"/>
    <x v="173"/>
    <x v="9"/>
    <x v="0"/>
    <x v="4"/>
    <n v="3"/>
    <n v="19252"/>
    <n v="42800"/>
    <x v="1"/>
    <n v="57756"/>
    <x v="290"/>
  </r>
  <r>
    <x v="291"/>
    <x v="173"/>
    <x v="9"/>
    <x v="5"/>
    <x v="0"/>
    <n v="4"/>
    <n v="24388"/>
    <n v="42945"/>
    <x v="3"/>
    <n v="97552"/>
    <x v="291"/>
  </r>
  <r>
    <x v="292"/>
    <x v="174"/>
    <x v="9"/>
    <x v="1"/>
    <x v="3"/>
    <n v="5"/>
    <n v="24411"/>
    <n v="17843"/>
    <x v="0"/>
    <n v="122055"/>
    <x v="292"/>
  </r>
  <r>
    <x v="293"/>
    <x v="175"/>
    <x v="9"/>
    <x v="0"/>
    <x v="2"/>
    <n v="3"/>
    <n v="49604"/>
    <n v="46253"/>
    <x v="1"/>
    <n v="148812"/>
    <x v="293"/>
  </r>
  <r>
    <x v="294"/>
    <x v="175"/>
    <x v="9"/>
    <x v="3"/>
    <x v="3"/>
    <n v="2"/>
    <n v="25931"/>
    <n v="17154"/>
    <x v="0"/>
    <n v="51862"/>
    <x v="294"/>
  </r>
  <r>
    <x v="295"/>
    <x v="176"/>
    <x v="9"/>
    <x v="5"/>
    <x v="0"/>
    <n v="5"/>
    <n v="32410"/>
    <n v="29272"/>
    <x v="0"/>
    <n v="162050"/>
    <x v="295"/>
  </r>
  <r>
    <x v="296"/>
    <x v="177"/>
    <x v="9"/>
    <x v="4"/>
    <x v="4"/>
    <n v="9"/>
    <n v="72960"/>
    <n v="30725"/>
    <x v="2"/>
    <n v="656640"/>
    <x v="296"/>
  </r>
  <r>
    <x v="297"/>
    <x v="177"/>
    <x v="9"/>
    <x v="0"/>
    <x v="4"/>
    <n v="9"/>
    <n v="35762"/>
    <n v="25487"/>
    <x v="1"/>
    <n v="321858"/>
    <x v="297"/>
  </r>
  <r>
    <x v="298"/>
    <x v="178"/>
    <x v="9"/>
    <x v="5"/>
    <x v="3"/>
    <n v="4"/>
    <n v="52630"/>
    <n v="25259"/>
    <x v="1"/>
    <n v="210520"/>
    <x v="298"/>
  </r>
  <r>
    <x v="299"/>
    <x v="179"/>
    <x v="9"/>
    <x v="1"/>
    <x v="4"/>
    <n v="5"/>
    <n v="48868"/>
    <n v="15226"/>
    <x v="3"/>
    <n v="244340"/>
    <x v="299"/>
  </r>
  <r>
    <x v="300"/>
    <x v="180"/>
    <x v="9"/>
    <x v="1"/>
    <x v="4"/>
    <n v="6"/>
    <n v="76873"/>
    <n v="33658"/>
    <x v="2"/>
    <n v="461238"/>
    <x v="300"/>
  </r>
  <r>
    <x v="301"/>
    <x v="181"/>
    <x v="9"/>
    <x v="5"/>
    <x v="0"/>
    <n v="1"/>
    <n v="76653"/>
    <n v="6469"/>
    <x v="2"/>
    <n v="76653"/>
    <x v="301"/>
  </r>
  <r>
    <x v="302"/>
    <x v="182"/>
    <x v="9"/>
    <x v="3"/>
    <x v="3"/>
    <n v="1"/>
    <n v="58779"/>
    <n v="28516"/>
    <x v="2"/>
    <n v="58779"/>
    <x v="302"/>
  </r>
  <r>
    <x v="303"/>
    <x v="183"/>
    <x v="9"/>
    <x v="4"/>
    <x v="3"/>
    <n v="9"/>
    <n v="44639"/>
    <n v="7643"/>
    <x v="0"/>
    <n v="401751"/>
    <x v="303"/>
  </r>
  <r>
    <x v="304"/>
    <x v="183"/>
    <x v="9"/>
    <x v="4"/>
    <x v="3"/>
    <n v="2"/>
    <n v="23240"/>
    <n v="41846"/>
    <x v="0"/>
    <n v="46480"/>
    <x v="304"/>
  </r>
  <r>
    <x v="305"/>
    <x v="183"/>
    <x v="9"/>
    <x v="1"/>
    <x v="2"/>
    <n v="3"/>
    <n v="70831"/>
    <n v="15721"/>
    <x v="1"/>
    <n v="212493"/>
    <x v="305"/>
  </r>
  <r>
    <x v="306"/>
    <x v="183"/>
    <x v="9"/>
    <x v="1"/>
    <x v="1"/>
    <n v="5"/>
    <n v="30611"/>
    <n v="44360"/>
    <x v="1"/>
    <n v="153055"/>
    <x v="306"/>
  </r>
  <r>
    <x v="307"/>
    <x v="183"/>
    <x v="9"/>
    <x v="3"/>
    <x v="2"/>
    <n v="5"/>
    <n v="26689"/>
    <n v="19099"/>
    <x v="3"/>
    <n v="133445"/>
    <x v="307"/>
  </r>
  <r>
    <x v="308"/>
    <x v="184"/>
    <x v="10"/>
    <x v="1"/>
    <x v="2"/>
    <n v="1"/>
    <n v="36131"/>
    <n v="48701"/>
    <x v="0"/>
    <n v="36131"/>
    <x v="308"/>
  </r>
  <r>
    <x v="309"/>
    <x v="184"/>
    <x v="10"/>
    <x v="2"/>
    <x v="0"/>
    <n v="3"/>
    <n v="12829"/>
    <n v="23669"/>
    <x v="3"/>
    <n v="38487"/>
    <x v="309"/>
  </r>
  <r>
    <x v="310"/>
    <x v="185"/>
    <x v="10"/>
    <x v="0"/>
    <x v="1"/>
    <n v="6"/>
    <n v="43608"/>
    <n v="30118"/>
    <x v="2"/>
    <n v="261648"/>
    <x v="310"/>
  </r>
  <r>
    <x v="311"/>
    <x v="186"/>
    <x v="10"/>
    <x v="1"/>
    <x v="2"/>
    <n v="6"/>
    <n v="70069"/>
    <n v="9706"/>
    <x v="2"/>
    <n v="420414"/>
    <x v="311"/>
  </r>
  <r>
    <x v="312"/>
    <x v="187"/>
    <x v="10"/>
    <x v="1"/>
    <x v="3"/>
    <n v="9"/>
    <n v="58216"/>
    <n v="38804"/>
    <x v="1"/>
    <n v="523944"/>
    <x v="312"/>
  </r>
  <r>
    <x v="313"/>
    <x v="187"/>
    <x v="10"/>
    <x v="0"/>
    <x v="4"/>
    <n v="2"/>
    <n v="29171"/>
    <n v="43870"/>
    <x v="1"/>
    <n v="58342"/>
    <x v="313"/>
  </r>
  <r>
    <x v="314"/>
    <x v="188"/>
    <x v="10"/>
    <x v="0"/>
    <x v="0"/>
    <n v="5"/>
    <n v="4614"/>
    <n v="42321"/>
    <x v="3"/>
    <n v="23070"/>
    <x v="314"/>
  </r>
  <r>
    <x v="315"/>
    <x v="189"/>
    <x v="10"/>
    <x v="5"/>
    <x v="4"/>
    <n v="6"/>
    <n v="45533"/>
    <n v="35521"/>
    <x v="3"/>
    <n v="273198"/>
    <x v="315"/>
  </r>
  <r>
    <x v="316"/>
    <x v="190"/>
    <x v="10"/>
    <x v="5"/>
    <x v="1"/>
    <n v="3"/>
    <n v="12056"/>
    <n v="41372"/>
    <x v="1"/>
    <n v="36168"/>
    <x v="316"/>
  </r>
  <r>
    <x v="317"/>
    <x v="191"/>
    <x v="10"/>
    <x v="0"/>
    <x v="1"/>
    <n v="5"/>
    <n v="7479"/>
    <n v="26556"/>
    <x v="1"/>
    <n v="37395"/>
    <x v="317"/>
  </r>
  <r>
    <x v="318"/>
    <x v="192"/>
    <x v="10"/>
    <x v="1"/>
    <x v="1"/>
    <n v="5"/>
    <n v="71471"/>
    <n v="3539"/>
    <x v="1"/>
    <n v="357355"/>
    <x v="318"/>
  </r>
  <r>
    <x v="319"/>
    <x v="192"/>
    <x v="10"/>
    <x v="5"/>
    <x v="1"/>
    <n v="9"/>
    <n v="78722"/>
    <n v="7588"/>
    <x v="0"/>
    <n v="708498"/>
    <x v="319"/>
  </r>
  <r>
    <x v="320"/>
    <x v="193"/>
    <x v="10"/>
    <x v="1"/>
    <x v="3"/>
    <n v="7"/>
    <n v="78076"/>
    <n v="3159"/>
    <x v="0"/>
    <n v="546532"/>
    <x v="320"/>
  </r>
  <r>
    <x v="321"/>
    <x v="194"/>
    <x v="10"/>
    <x v="1"/>
    <x v="2"/>
    <n v="6"/>
    <n v="77471"/>
    <n v="42814"/>
    <x v="0"/>
    <n v="464826"/>
    <x v="321"/>
  </r>
  <r>
    <x v="322"/>
    <x v="194"/>
    <x v="10"/>
    <x v="1"/>
    <x v="0"/>
    <n v="5"/>
    <n v="50908"/>
    <n v="10528"/>
    <x v="2"/>
    <n v="254540"/>
    <x v="322"/>
  </r>
  <r>
    <x v="323"/>
    <x v="195"/>
    <x v="10"/>
    <x v="5"/>
    <x v="0"/>
    <n v="1"/>
    <n v="12371"/>
    <n v="12407"/>
    <x v="3"/>
    <n v="12371"/>
    <x v="323"/>
  </r>
  <r>
    <x v="324"/>
    <x v="196"/>
    <x v="10"/>
    <x v="2"/>
    <x v="0"/>
    <n v="9"/>
    <n v="18768"/>
    <n v="5666"/>
    <x v="0"/>
    <n v="168912"/>
    <x v="324"/>
  </r>
  <r>
    <x v="325"/>
    <x v="197"/>
    <x v="10"/>
    <x v="5"/>
    <x v="0"/>
    <n v="1"/>
    <n v="38346"/>
    <n v="31573"/>
    <x v="2"/>
    <n v="38346"/>
    <x v="325"/>
  </r>
  <r>
    <x v="326"/>
    <x v="198"/>
    <x v="10"/>
    <x v="5"/>
    <x v="1"/>
    <n v="2"/>
    <n v="72331"/>
    <n v="11720"/>
    <x v="0"/>
    <n v="144662"/>
    <x v="326"/>
  </r>
  <r>
    <x v="327"/>
    <x v="198"/>
    <x v="10"/>
    <x v="0"/>
    <x v="0"/>
    <n v="6"/>
    <n v="69410"/>
    <n v="38481"/>
    <x v="1"/>
    <n v="416460"/>
    <x v="327"/>
  </r>
  <r>
    <x v="328"/>
    <x v="199"/>
    <x v="10"/>
    <x v="0"/>
    <x v="3"/>
    <n v="2"/>
    <n v="75196"/>
    <n v="46657"/>
    <x v="3"/>
    <n v="150392"/>
    <x v="328"/>
  </r>
  <r>
    <x v="329"/>
    <x v="200"/>
    <x v="10"/>
    <x v="2"/>
    <x v="3"/>
    <n v="9"/>
    <n v="1677"/>
    <n v="11805"/>
    <x v="0"/>
    <n v="15093"/>
    <x v="329"/>
  </r>
  <r>
    <x v="330"/>
    <x v="201"/>
    <x v="10"/>
    <x v="5"/>
    <x v="2"/>
    <n v="1"/>
    <n v="32390"/>
    <n v="37850"/>
    <x v="3"/>
    <n v="32390"/>
    <x v="330"/>
  </r>
  <r>
    <x v="331"/>
    <x v="201"/>
    <x v="10"/>
    <x v="3"/>
    <x v="2"/>
    <n v="7"/>
    <n v="56773"/>
    <n v="6347"/>
    <x v="0"/>
    <n v="397411"/>
    <x v="331"/>
  </r>
  <r>
    <x v="332"/>
    <x v="202"/>
    <x v="11"/>
    <x v="1"/>
    <x v="1"/>
    <n v="9"/>
    <n v="12649"/>
    <n v="4390"/>
    <x v="1"/>
    <n v="113841"/>
    <x v="332"/>
  </r>
  <r>
    <x v="333"/>
    <x v="202"/>
    <x v="11"/>
    <x v="1"/>
    <x v="0"/>
    <n v="8"/>
    <n v="57509"/>
    <n v="43951"/>
    <x v="0"/>
    <n v="460072"/>
    <x v="333"/>
  </r>
  <r>
    <x v="334"/>
    <x v="202"/>
    <x v="11"/>
    <x v="2"/>
    <x v="4"/>
    <n v="6"/>
    <n v="42580"/>
    <n v="26150"/>
    <x v="0"/>
    <n v="255480"/>
    <x v="334"/>
  </r>
  <r>
    <x v="335"/>
    <x v="203"/>
    <x v="11"/>
    <x v="5"/>
    <x v="2"/>
    <n v="1"/>
    <n v="27487"/>
    <n v="13087"/>
    <x v="1"/>
    <n v="27487"/>
    <x v="335"/>
  </r>
  <r>
    <x v="336"/>
    <x v="203"/>
    <x v="11"/>
    <x v="4"/>
    <x v="2"/>
    <n v="4"/>
    <n v="41823"/>
    <n v="33972"/>
    <x v="1"/>
    <n v="167292"/>
    <x v="336"/>
  </r>
  <r>
    <x v="337"/>
    <x v="203"/>
    <x v="11"/>
    <x v="1"/>
    <x v="3"/>
    <n v="4"/>
    <n v="55816"/>
    <n v="18071"/>
    <x v="1"/>
    <n v="223264"/>
    <x v="337"/>
  </r>
  <r>
    <x v="338"/>
    <x v="204"/>
    <x v="11"/>
    <x v="2"/>
    <x v="0"/>
    <n v="2"/>
    <n v="15071"/>
    <n v="34160"/>
    <x v="3"/>
    <n v="30142"/>
    <x v="338"/>
  </r>
  <r>
    <x v="339"/>
    <x v="205"/>
    <x v="11"/>
    <x v="4"/>
    <x v="4"/>
    <n v="9"/>
    <n v="74465"/>
    <n v="47760"/>
    <x v="3"/>
    <n v="670185"/>
    <x v="339"/>
  </r>
  <r>
    <x v="340"/>
    <x v="206"/>
    <x v="11"/>
    <x v="0"/>
    <x v="0"/>
    <n v="9"/>
    <n v="6204"/>
    <n v="19037"/>
    <x v="3"/>
    <n v="55836"/>
    <x v="340"/>
  </r>
  <r>
    <x v="341"/>
    <x v="206"/>
    <x v="11"/>
    <x v="1"/>
    <x v="3"/>
    <n v="8"/>
    <n v="56326"/>
    <n v="34598"/>
    <x v="1"/>
    <n v="450608"/>
    <x v="341"/>
  </r>
  <r>
    <x v="342"/>
    <x v="207"/>
    <x v="11"/>
    <x v="3"/>
    <x v="3"/>
    <n v="8"/>
    <n v="25926"/>
    <n v="17832"/>
    <x v="0"/>
    <n v="207408"/>
    <x v="342"/>
  </r>
  <r>
    <x v="343"/>
    <x v="207"/>
    <x v="11"/>
    <x v="2"/>
    <x v="0"/>
    <n v="2"/>
    <n v="31901"/>
    <n v="7256"/>
    <x v="3"/>
    <n v="63802"/>
    <x v="343"/>
  </r>
  <r>
    <x v="344"/>
    <x v="208"/>
    <x v="11"/>
    <x v="2"/>
    <x v="4"/>
    <n v="3"/>
    <n v="74270"/>
    <n v="35546"/>
    <x v="3"/>
    <n v="222810"/>
    <x v="344"/>
  </r>
  <r>
    <x v="345"/>
    <x v="208"/>
    <x v="11"/>
    <x v="0"/>
    <x v="0"/>
    <n v="9"/>
    <n v="69749"/>
    <n v="20715"/>
    <x v="1"/>
    <n v="627741"/>
    <x v="345"/>
  </r>
  <r>
    <x v="346"/>
    <x v="208"/>
    <x v="11"/>
    <x v="4"/>
    <x v="3"/>
    <n v="7"/>
    <n v="6906"/>
    <n v="15939"/>
    <x v="1"/>
    <n v="48342"/>
    <x v="346"/>
  </r>
  <r>
    <x v="347"/>
    <x v="208"/>
    <x v="11"/>
    <x v="5"/>
    <x v="0"/>
    <n v="7"/>
    <n v="63537"/>
    <n v="34243"/>
    <x v="1"/>
    <n v="444759"/>
    <x v="347"/>
  </r>
  <r>
    <x v="348"/>
    <x v="209"/>
    <x v="11"/>
    <x v="2"/>
    <x v="4"/>
    <n v="6"/>
    <n v="77059"/>
    <n v="3643"/>
    <x v="3"/>
    <n v="462354"/>
    <x v="348"/>
  </r>
  <r>
    <x v="349"/>
    <x v="210"/>
    <x v="11"/>
    <x v="5"/>
    <x v="0"/>
    <n v="5"/>
    <n v="55909"/>
    <n v="24387"/>
    <x v="2"/>
    <n v="279545"/>
    <x v="349"/>
  </r>
  <r>
    <x v="350"/>
    <x v="210"/>
    <x v="11"/>
    <x v="1"/>
    <x v="4"/>
    <n v="6"/>
    <n v="45436"/>
    <n v="31933"/>
    <x v="1"/>
    <n v="272616"/>
    <x v="350"/>
  </r>
  <r>
    <x v="351"/>
    <x v="210"/>
    <x v="11"/>
    <x v="1"/>
    <x v="2"/>
    <n v="6"/>
    <n v="65141"/>
    <n v="3591"/>
    <x v="3"/>
    <n v="390846"/>
    <x v="351"/>
  </r>
  <r>
    <x v="352"/>
    <x v="210"/>
    <x v="11"/>
    <x v="5"/>
    <x v="4"/>
    <n v="5"/>
    <n v="17405"/>
    <n v="10122"/>
    <x v="2"/>
    <n v="87025"/>
    <x v="352"/>
  </r>
  <r>
    <x v="353"/>
    <x v="211"/>
    <x v="11"/>
    <x v="3"/>
    <x v="3"/>
    <n v="2"/>
    <n v="23671"/>
    <n v="30750"/>
    <x v="1"/>
    <n v="47342"/>
    <x v="353"/>
  </r>
  <r>
    <x v="354"/>
    <x v="212"/>
    <x v="11"/>
    <x v="1"/>
    <x v="0"/>
    <n v="4"/>
    <n v="14984"/>
    <n v="4384"/>
    <x v="0"/>
    <n v="59936"/>
    <x v="354"/>
  </r>
  <r>
    <x v="355"/>
    <x v="212"/>
    <x v="11"/>
    <x v="2"/>
    <x v="2"/>
    <n v="6"/>
    <n v="55323"/>
    <n v="19489"/>
    <x v="0"/>
    <n v="331938"/>
    <x v="355"/>
  </r>
  <r>
    <x v="356"/>
    <x v="213"/>
    <x v="11"/>
    <x v="5"/>
    <x v="1"/>
    <n v="5"/>
    <n v="55124"/>
    <n v="49201"/>
    <x v="3"/>
    <n v="275620"/>
    <x v="356"/>
  </r>
  <r>
    <x v="357"/>
    <x v="213"/>
    <x v="11"/>
    <x v="1"/>
    <x v="3"/>
    <n v="6"/>
    <n v="36535"/>
    <n v="2171"/>
    <x v="2"/>
    <n v="219210"/>
    <x v="357"/>
  </r>
  <r>
    <x v="358"/>
    <x v="214"/>
    <x v="11"/>
    <x v="4"/>
    <x v="2"/>
    <n v="1"/>
    <n v="79416"/>
    <n v="4754"/>
    <x v="0"/>
    <n v="79416"/>
    <x v="358"/>
  </r>
  <r>
    <x v="359"/>
    <x v="214"/>
    <x v="11"/>
    <x v="3"/>
    <x v="3"/>
    <n v="2"/>
    <n v="79112"/>
    <n v="39356"/>
    <x v="0"/>
    <n v="158224"/>
    <x v="359"/>
  </r>
  <r>
    <x v="360"/>
    <x v="214"/>
    <x v="11"/>
    <x v="5"/>
    <x v="3"/>
    <n v="8"/>
    <n v="29871"/>
    <n v="33373"/>
    <x v="3"/>
    <n v="238968"/>
    <x v="360"/>
  </r>
  <r>
    <x v="361"/>
    <x v="214"/>
    <x v="11"/>
    <x v="3"/>
    <x v="1"/>
    <n v="2"/>
    <n v="15922"/>
    <n v="26643"/>
    <x v="3"/>
    <n v="31844"/>
    <x v="361"/>
  </r>
  <r>
    <x v="362"/>
    <x v="214"/>
    <x v="11"/>
    <x v="5"/>
    <x v="0"/>
    <n v="1"/>
    <n v="44450"/>
    <n v="29276"/>
    <x v="3"/>
    <n v="44450"/>
    <x v="362"/>
  </r>
  <r>
    <x v="363"/>
    <x v="215"/>
    <x v="11"/>
    <x v="4"/>
    <x v="1"/>
    <n v="5"/>
    <n v="77243"/>
    <n v="26498"/>
    <x v="2"/>
    <n v="386215"/>
    <x v="363"/>
  </r>
  <r>
    <x v="364"/>
    <x v="216"/>
    <x v="11"/>
    <x v="4"/>
    <x v="2"/>
    <n v="8"/>
    <n v="30456"/>
    <n v="19888"/>
    <x v="0"/>
    <n v="243648"/>
    <x v="364"/>
  </r>
  <r>
    <x v="365"/>
    <x v="217"/>
    <x v="11"/>
    <x v="3"/>
    <x v="2"/>
    <n v="3"/>
    <n v="6672"/>
    <n v="40951"/>
    <x v="3"/>
    <n v="20016"/>
    <x v="365"/>
  </r>
  <r>
    <x v="366"/>
    <x v="218"/>
    <x v="12"/>
    <x v="5"/>
    <x v="0"/>
    <n v="9"/>
    <n v="58848"/>
    <n v="18081"/>
    <x v="0"/>
    <n v="529632"/>
    <x v="366"/>
  </r>
  <r>
    <x v="367"/>
    <x v="218"/>
    <x v="12"/>
    <x v="4"/>
    <x v="3"/>
    <n v="1"/>
    <n v="59689"/>
    <n v="6997"/>
    <x v="0"/>
    <n v="59689"/>
    <x v="367"/>
  </r>
  <r>
    <x v="368"/>
    <x v="218"/>
    <x v="12"/>
    <x v="2"/>
    <x v="4"/>
    <n v="9"/>
    <n v="35644"/>
    <n v="21215"/>
    <x v="0"/>
    <n v="320796"/>
    <x v="368"/>
  </r>
  <r>
    <x v="369"/>
    <x v="219"/>
    <x v="12"/>
    <x v="4"/>
    <x v="2"/>
    <n v="5"/>
    <n v="24522"/>
    <n v="7710"/>
    <x v="2"/>
    <n v="122610"/>
    <x v="369"/>
  </r>
  <r>
    <x v="370"/>
    <x v="220"/>
    <x v="12"/>
    <x v="1"/>
    <x v="3"/>
    <n v="9"/>
    <n v="45357"/>
    <n v="31129"/>
    <x v="2"/>
    <n v="408213"/>
    <x v="370"/>
  </r>
  <r>
    <x v="371"/>
    <x v="221"/>
    <x v="12"/>
    <x v="1"/>
    <x v="0"/>
    <n v="6"/>
    <n v="78366"/>
    <n v="49777"/>
    <x v="3"/>
    <n v="470196"/>
    <x v="371"/>
  </r>
  <r>
    <x v="372"/>
    <x v="222"/>
    <x v="12"/>
    <x v="0"/>
    <x v="3"/>
    <n v="8"/>
    <n v="20008"/>
    <n v="30739"/>
    <x v="3"/>
    <n v="160064"/>
    <x v="372"/>
  </r>
  <r>
    <x v="373"/>
    <x v="222"/>
    <x v="12"/>
    <x v="2"/>
    <x v="4"/>
    <n v="4"/>
    <n v="60265"/>
    <n v="17021"/>
    <x v="2"/>
    <n v="241060"/>
    <x v="373"/>
  </r>
  <r>
    <x v="374"/>
    <x v="223"/>
    <x v="12"/>
    <x v="5"/>
    <x v="4"/>
    <n v="2"/>
    <n v="63633"/>
    <n v="32703"/>
    <x v="1"/>
    <n v="127266"/>
    <x v="374"/>
  </r>
  <r>
    <x v="375"/>
    <x v="224"/>
    <x v="12"/>
    <x v="0"/>
    <x v="2"/>
    <n v="2"/>
    <n v="48855"/>
    <n v="31930"/>
    <x v="2"/>
    <n v="97710"/>
    <x v="375"/>
  </r>
  <r>
    <x v="376"/>
    <x v="225"/>
    <x v="12"/>
    <x v="0"/>
    <x v="3"/>
    <n v="1"/>
    <n v="6282"/>
    <n v="18073"/>
    <x v="0"/>
    <n v="6282"/>
    <x v="376"/>
  </r>
  <r>
    <x v="377"/>
    <x v="226"/>
    <x v="12"/>
    <x v="0"/>
    <x v="1"/>
    <n v="9"/>
    <n v="42121"/>
    <n v="35051"/>
    <x v="2"/>
    <n v="379089"/>
    <x v="377"/>
  </r>
  <r>
    <x v="378"/>
    <x v="227"/>
    <x v="12"/>
    <x v="3"/>
    <x v="4"/>
    <n v="7"/>
    <n v="24169"/>
    <n v="44934"/>
    <x v="1"/>
    <n v="169183"/>
    <x v="378"/>
  </r>
  <r>
    <x v="379"/>
    <x v="227"/>
    <x v="12"/>
    <x v="1"/>
    <x v="3"/>
    <n v="7"/>
    <n v="11256"/>
    <n v="16078"/>
    <x v="0"/>
    <n v="78792"/>
    <x v="379"/>
  </r>
  <r>
    <x v="380"/>
    <x v="227"/>
    <x v="12"/>
    <x v="4"/>
    <x v="2"/>
    <n v="3"/>
    <n v="10003"/>
    <n v="19058"/>
    <x v="3"/>
    <n v="30009"/>
    <x v="380"/>
  </r>
  <r>
    <x v="381"/>
    <x v="228"/>
    <x v="12"/>
    <x v="0"/>
    <x v="1"/>
    <n v="3"/>
    <n v="4131"/>
    <n v="45918"/>
    <x v="1"/>
    <n v="12393"/>
    <x v="381"/>
  </r>
  <r>
    <x v="382"/>
    <x v="228"/>
    <x v="12"/>
    <x v="3"/>
    <x v="0"/>
    <n v="9"/>
    <n v="23114"/>
    <n v="37632"/>
    <x v="2"/>
    <n v="208026"/>
    <x v="382"/>
  </r>
  <r>
    <x v="383"/>
    <x v="229"/>
    <x v="12"/>
    <x v="4"/>
    <x v="3"/>
    <n v="4"/>
    <n v="16663"/>
    <n v="48299"/>
    <x v="1"/>
    <n v="66652"/>
    <x v="383"/>
  </r>
  <r>
    <x v="384"/>
    <x v="229"/>
    <x v="12"/>
    <x v="1"/>
    <x v="0"/>
    <n v="5"/>
    <n v="51612"/>
    <n v="2633"/>
    <x v="1"/>
    <n v="258060"/>
    <x v="384"/>
  </r>
  <r>
    <x v="385"/>
    <x v="229"/>
    <x v="12"/>
    <x v="0"/>
    <x v="2"/>
    <n v="3"/>
    <n v="60928"/>
    <n v="22038"/>
    <x v="2"/>
    <n v="182784"/>
    <x v="385"/>
  </r>
  <r>
    <x v="386"/>
    <x v="230"/>
    <x v="12"/>
    <x v="2"/>
    <x v="1"/>
    <n v="7"/>
    <n v="27708"/>
    <n v="6926"/>
    <x v="0"/>
    <n v="193956"/>
    <x v="386"/>
  </r>
  <r>
    <x v="387"/>
    <x v="230"/>
    <x v="12"/>
    <x v="5"/>
    <x v="0"/>
    <n v="4"/>
    <n v="60389"/>
    <n v="6110"/>
    <x v="0"/>
    <n v="241556"/>
    <x v="387"/>
  </r>
  <r>
    <x v="388"/>
    <x v="230"/>
    <x v="12"/>
    <x v="1"/>
    <x v="0"/>
    <n v="7"/>
    <n v="73409"/>
    <n v="26470"/>
    <x v="0"/>
    <n v="513863"/>
    <x v="388"/>
  </r>
  <r>
    <x v="389"/>
    <x v="231"/>
    <x v="12"/>
    <x v="1"/>
    <x v="2"/>
    <n v="3"/>
    <n v="55749"/>
    <n v="24017"/>
    <x v="1"/>
    <n v="167247"/>
    <x v="389"/>
  </r>
  <r>
    <x v="390"/>
    <x v="232"/>
    <x v="12"/>
    <x v="5"/>
    <x v="2"/>
    <n v="2"/>
    <n v="22136"/>
    <n v="14944"/>
    <x v="3"/>
    <n v="44272"/>
    <x v="390"/>
  </r>
  <r>
    <x v="391"/>
    <x v="232"/>
    <x v="12"/>
    <x v="3"/>
    <x v="1"/>
    <n v="4"/>
    <n v="38150"/>
    <n v="14109"/>
    <x v="2"/>
    <n v="152600"/>
    <x v="391"/>
  </r>
  <r>
    <x v="392"/>
    <x v="232"/>
    <x v="12"/>
    <x v="4"/>
    <x v="3"/>
    <n v="9"/>
    <n v="74569"/>
    <n v="47907"/>
    <x v="1"/>
    <n v="671121"/>
    <x v="392"/>
  </r>
  <r>
    <x v="393"/>
    <x v="233"/>
    <x v="12"/>
    <x v="1"/>
    <x v="2"/>
    <n v="5"/>
    <n v="46913"/>
    <n v="15537"/>
    <x v="0"/>
    <n v="234565"/>
    <x v="393"/>
  </r>
  <r>
    <x v="394"/>
    <x v="234"/>
    <x v="12"/>
    <x v="5"/>
    <x v="1"/>
    <n v="2"/>
    <n v="26660"/>
    <n v="22621"/>
    <x v="3"/>
    <n v="53320"/>
    <x v="394"/>
  </r>
  <r>
    <x v="395"/>
    <x v="234"/>
    <x v="12"/>
    <x v="2"/>
    <x v="0"/>
    <n v="6"/>
    <n v="42491"/>
    <n v="27515"/>
    <x v="0"/>
    <n v="254946"/>
    <x v="395"/>
  </r>
  <r>
    <x v="396"/>
    <x v="235"/>
    <x v="12"/>
    <x v="2"/>
    <x v="0"/>
    <n v="6"/>
    <n v="68508"/>
    <n v="44363"/>
    <x v="3"/>
    <n v="411048"/>
    <x v="396"/>
  </r>
  <r>
    <x v="397"/>
    <x v="236"/>
    <x v="12"/>
    <x v="4"/>
    <x v="4"/>
    <n v="8"/>
    <n v="40422"/>
    <n v="11800"/>
    <x v="2"/>
    <n v="323376"/>
    <x v="397"/>
  </r>
  <r>
    <x v="398"/>
    <x v="237"/>
    <x v="13"/>
    <x v="1"/>
    <x v="3"/>
    <n v="9"/>
    <n v="31867"/>
    <n v="3096"/>
    <x v="2"/>
    <n v="286803"/>
    <x v="398"/>
  </r>
  <r>
    <x v="399"/>
    <x v="237"/>
    <x v="13"/>
    <x v="4"/>
    <x v="0"/>
    <n v="7"/>
    <n v="56992"/>
    <n v="9004"/>
    <x v="1"/>
    <n v="398944"/>
    <x v="399"/>
  </r>
  <r>
    <x v="400"/>
    <x v="238"/>
    <x v="13"/>
    <x v="4"/>
    <x v="3"/>
    <n v="3"/>
    <n v="52688"/>
    <n v="28733"/>
    <x v="0"/>
    <n v="158064"/>
    <x v="400"/>
  </r>
  <r>
    <x v="401"/>
    <x v="238"/>
    <x v="13"/>
    <x v="1"/>
    <x v="1"/>
    <n v="9"/>
    <n v="64030"/>
    <n v="33994"/>
    <x v="3"/>
    <n v="576270"/>
    <x v="401"/>
  </r>
  <r>
    <x v="402"/>
    <x v="239"/>
    <x v="13"/>
    <x v="2"/>
    <x v="2"/>
    <n v="8"/>
    <n v="72930"/>
    <n v="44590"/>
    <x v="1"/>
    <n v="583440"/>
    <x v="402"/>
  </r>
  <r>
    <x v="403"/>
    <x v="239"/>
    <x v="13"/>
    <x v="5"/>
    <x v="0"/>
    <n v="7"/>
    <n v="50223"/>
    <n v="16149"/>
    <x v="2"/>
    <n v="351561"/>
    <x v="403"/>
  </r>
  <r>
    <x v="404"/>
    <x v="240"/>
    <x v="13"/>
    <x v="4"/>
    <x v="3"/>
    <n v="2"/>
    <n v="23929"/>
    <n v="13485"/>
    <x v="2"/>
    <n v="47858"/>
    <x v="404"/>
  </r>
  <r>
    <x v="405"/>
    <x v="240"/>
    <x v="13"/>
    <x v="2"/>
    <x v="3"/>
    <n v="2"/>
    <n v="9574"/>
    <n v="19133"/>
    <x v="1"/>
    <n v="19148"/>
    <x v="405"/>
  </r>
  <r>
    <x v="406"/>
    <x v="241"/>
    <x v="13"/>
    <x v="2"/>
    <x v="0"/>
    <n v="7"/>
    <n v="22920"/>
    <n v="7530"/>
    <x v="1"/>
    <n v="160440"/>
    <x v="406"/>
  </r>
  <r>
    <x v="407"/>
    <x v="241"/>
    <x v="13"/>
    <x v="1"/>
    <x v="2"/>
    <n v="6"/>
    <n v="64436"/>
    <n v="27819"/>
    <x v="1"/>
    <n v="386616"/>
    <x v="407"/>
  </r>
  <r>
    <x v="408"/>
    <x v="242"/>
    <x v="13"/>
    <x v="1"/>
    <x v="1"/>
    <n v="2"/>
    <n v="4858"/>
    <n v="35865"/>
    <x v="0"/>
    <n v="9716"/>
    <x v="408"/>
  </r>
  <r>
    <x v="409"/>
    <x v="242"/>
    <x v="13"/>
    <x v="3"/>
    <x v="3"/>
    <n v="2"/>
    <n v="59076"/>
    <n v="8736"/>
    <x v="1"/>
    <n v="118152"/>
    <x v="409"/>
  </r>
  <r>
    <x v="410"/>
    <x v="243"/>
    <x v="13"/>
    <x v="1"/>
    <x v="4"/>
    <n v="5"/>
    <n v="33861"/>
    <n v="2898"/>
    <x v="0"/>
    <n v="169305"/>
    <x v="410"/>
  </r>
  <r>
    <x v="411"/>
    <x v="244"/>
    <x v="13"/>
    <x v="3"/>
    <x v="2"/>
    <n v="6"/>
    <n v="43168"/>
    <n v="1541"/>
    <x v="2"/>
    <n v="259008"/>
    <x v="411"/>
  </r>
  <r>
    <x v="412"/>
    <x v="245"/>
    <x v="13"/>
    <x v="3"/>
    <x v="3"/>
    <n v="8"/>
    <n v="10882"/>
    <n v="40110"/>
    <x v="1"/>
    <n v="87056"/>
    <x v="412"/>
  </r>
  <r>
    <x v="413"/>
    <x v="246"/>
    <x v="13"/>
    <x v="3"/>
    <x v="0"/>
    <n v="9"/>
    <n v="73884"/>
    <n v="17406"/>
    <x v="3"/>
    <n v="664956"/>
    <x v="413"/>
  </r>
  <r>
    <x v="414"/>
    <x v="247"/>
    <x v="13"/>
    <x v="4"/>
    <x v="3"/>
    <n v="9"/>
    <n v="31674"/>
    <n v="14489"/>
    <x v="2"/>
    <n v="285066"/>
    <x v="414"/>
  </r>
  <r>
    <x v="415"/>
    <x v="248"/>
    <x v="13"/>
    <x v="1"/>
    <x v="1"/>
    <n v="6"/>
    <n v="40608"/>
    <n v="4137"/>
    <x v="2"/>
    <n v="243648"/>
    <x v="415"/>
  </r>
  <r>
    <x v="416"/>
    <x v="248"/>
    <x v="13"/>
    <x v="5"/>
    <x v="4"/>
    <n v="7"/>
    <n v="78311"/>
    <n v="39547"/>
    <x v="1"/>
    <n v="548177"/>
    <x v="416"/>
  </r>
  <r>
    <x v="417"/>
    <x v="249"/>
    <x v="13"/>
    <x v="0"/>
    <x v="3"/>
    <n v="7"/>
    <n v="34671"/>
    <n v="17280"/>
    <x v="3"/>
    <n v="242697"/>
    <x v="417"/>
  </r>
  <r>
    <x v="418"/>
    <x v="250"/>
    <x v="13"/>
    <x v="2"/>
    <x v="2"/>
    <n v="6"/>
    <n v="58284"/>
    <n v="42796"/>
    <x v="1"/>
    <n v="349704"/>
    <x v="418"/>
  </r>
  <r>
    <x v="419"/>
    <x v="251"/>
    <x v="13"/>
    <x v="4"/>
    <x v="1"/>
    <n v="8"/>
    <n v="17514"/>
    <n v="13448"/>
    <x v="2"/>
    <n v="140112"/>
    <x v="419"/>
  </r>
  <r>
    <x v="420"/>
    <x v="252"/>
    <x v="13"/>
    <x v="0"/>
    <x v="0"/>
    <n v="3"/>
    <n v="37414"/>
    <n v="2828"/>
    <x v="3"/>
    <n v="112242"/>
    <x v="420"/>
  </r>
  <r>
    <x v="421"/>
    <x v="252"/>
    <x v="13"/>
    <x v="1"/>
    <x v="3"/>
    <n v="2"/>
    <n v="28641"/>
    <n v="31798"/>
    <x v="3"/>
    <n v="57282"/>
    <x v="421"/>
  </r>
  <r>
    <x v="422"/>
    <x v="252"/>
    <x v="13"/>
    <x v="5"/>
    <x v="0"/>
    <n v="1"/>
    <n v="26535"/>
    <n v="24551"/>
    <x v="0"/>
    <n v="26535"/>
    <x v="422"/>
  </r>
  <r>
    <x v="423"/>
    <x v="253"/>
    <x v="13"/>
    <x v="2"/>
    <x v="2"/>
    <n v="3"/>
    <n v="31120"/>
    <n v="34380"/>
    <x v="0"/>
    <n v="93360"/>
    <x v="423"/>
  </r>
  <r>
    <x v="424"/>
    <x v="254"/>
    <x v="13"/>
    <x v="0"/>
    <x v="1"/>
    <n v="9"/>
    <n v="42279"/>
    <n v="23263"/>
    <x v="1"/>
    <n v="380511"/>
    <x v="424"/>
  </r>
  <r>
    <x v="425"/>
    <x v="255"/>
    <x v="14"/>
    <x v="0"/>
    <x v="3"/>
    <n v="9"/>
    <n v="64606"/>
    <n v="39019"/>
    <x v="2"/>
    <n v="581454"/>
    <x v="425"/>
  </r>
  <r>
    <x v="426"/>
    <x v="256"/>
    <x v="14"/>
    <x v="1"/>
    <x v="2"/>
    <n v="4"/>
    <n v="59682"/>
    <n v="19313"/>
    <x v="2"/>
    <n v="238728"/>
    <x v="426"/>
  </r>
  <r>
    <x v="427"/>
    <x v="256"/>
    <x v="14"/>
    <x v="5"/>
    <x v="2"/>
    <n v="1"/>
    <n v="31507"/>
    <n v="26122"/>
    <x v="0"/>
    <n v="31507"/>
    <x v="427"/>
  </r>
  <r>
    <x v="428"/>
    <x v="256"/>
    <x v="14"/>
    <x v="3"/>
    <x v="1"/>
    <n v="6"/>
    <n v="56033"/>
    <n v="24952"/>
    <x v="0"/>
    <n v="336198"/>
    <x v="428"/>
  </r>
  <r>
    <x v="429"/>
    <x v="257"/>
    <x v="14"/>
    <x v="5"/>
    <x v="1"/>
    <n v="6"/>
    <n v="27215"/>
    <n v="27390"/>
    <x v="0"/>
    <n v="163290"/>
    <x v="429"/>
  </r>
  <r>
    <x v="430"/>
    <x v="258"/>
    <x v="14"/>
    <x v="2"/>
    <x v="3"/>
    <n v="2"/>
    <n v="16077"/>
    <n v="44541"/>
    <x v="1"/>
    <n v="32154"/>
    <x v="430"/>
  </r>
  <r>
    <x v="431"/>
    <x v="259"/>
    <x v="14"/>
    <x v="0"/>
    <x v="1"/>
    <n v="7"/>
    <n v="5939"/>
    <n v="17087"/>
    <x v="0"/>
    <n v="41573"/>
    <x v="431"/>
  </r>
  <r>
    <x v="432"/>
    <x v="260"/>
    <x v="14"/>
    <x v="4"/>
    <x v="3"/>
    <n v="6"/>
    <n v="77952"/>
    <n v="31575"/>
    <x v="1"/>
    <n v="467712"/>
    <x v="432"/>
  </r>
  <r>
    <x v="433"/>
    <x v="261"/>
    <x v="14"/>
    <x v="1"/>
    <x v="0"/>
    <n v="4"/>
    <n v="64240"/>
    <n v="3336"/>
    <x v="0"/>
    <n v="256960"/>
    <x v="433"/>
  </r>
  <r>
    <x v="434"/>
    <x v="262"/>
    <x v="14"/>
    <x v="0"/>
    <x v="2"/>
    <n v="6"/>
    <n v="11254"/>
    <n v="18015"/>
    <x v="2"/>
    <n v="67524"/>
    <x v="434"/>
  </r>
  <r>
    <x v="435"/>
    <x v="262"/>
    <x v="14"/>
    <x v="2"/>
    <x v="2"/>
    <n v="4"/>
    <n v="71729"/>
    <n v="22253"/>
    <x v="1"/>
    <n v="286916"/>
    <x v="435"/>
  </r>
  <r>
    <x v="436"/>
    <x v="263"/>
    <x v="14"/>
    <x v="5"/>
    <x v="3"/>
    <n v="5"/>
    <n v="7221"/>
    <n v="7304"/>
    <x v="1"/>
    <n v="36105"/>
    <x v="436"/>
  </r>
  <r>
    <x v="437"/>
    <x v="264"/>
    <x v="14"/>
    <x v="3"/>
    <x v="2"/>
    <n v="7"/>
    <n v="50831"/>
    <n v="31932"/>
    <x v="2"/>
    <n v="355817"/>
    <x v="437"/>
  </r>
  <r>
    <x v="438"/>
    <x v="264"/>
    <x v="14"/>
    <x v="0"/>
    <x v="2"/>
    <n v="1"/>
    <n v="17031"/>
    <n v="45517"/>
    <x v="2"/>
    <n v="17031"/>
    <x v="438"/>
  </r>
  <r>
    <x v="439"/>
    <x v="265"/>
    <x v="14"/>
    <x v="5"/>
    <x v="0"/>
    <n v="7"/>
    <n v="40382"/>
    <n v="10496"/>
    <x v="1"/>
    <n v="282674"/>
    <x v="439"/>
  </r>
  <r>
    <x v="440"/>
    <x v="265"/>
    <x v="14"/>
    <x v="1"/>
    <x v="4"/>
    <n v="8"/>
    <n v="25096"/>
    <n v="35947"/>
    <x v="1"/>
    <n v="200768"/>
    <x v="440"/>
  </r>
  <r>
    <x v="441"/>
    <x v="266"/>
    <x v="14"/>
    <x v="5"/>
    <x v="0"/>
    <n v="1"/>
    <n v="51899"/>
    <n v="2125"/>
    <x v="3"/>
    <n v="51899"/>
    <x v="441"/>
  </r>
  <r>
    <x v="442"/>
    <x v="267"/>
    <x v="14"/>
    <x v="4"/>
    <x v="1"/>
    <n v="8"/>
    <n v="31824"/>
    <n v="37735"/>
    <x v="0"/>
    <n v="254592"/>
    <x v="442"/>
  </r>
  <r>
    <x v="443"/>
    <x v="267"/>
    <x v="14"/>
    <x v="0"/>
    <x v="1"/>
    <n v="2"/>
    <n v="22943"/>
    <n v="15566"/>
    <x v="2"/>
    <n v="45886"/>
    <x v="443"/>
  </r>
  <r>
    <x v="444"/>
    <x v="267"/>
    <x v="14"/>
    <x v="3"/>
    <x v="4"/>
    <n v="7"/>
    <n v="12789"/>
    <n v="17087"/>
    <x v="0"/>
    <n v="89523"/>
    <x v="444"/>
  </r>
  <r>
    <x v="445"/>
    <x v="267"/>
    <x v="14"/>
    <x v="4"/>
    <x v="2"/>
    <n v="4"/>
    <n v="13895"/>
    <n v="31508"/>
    <x v="1"/>
    <n v="55580"/>
    <x v="445"/>
  </r>
  <r>
    <x v="446"/>
    <x v="267"/>
    <x v="14"/>
    <x v="2"/>
    <x v="4"/>
    <n v="9"/>
    <n v="31182"/>
    <n v="31682"/>
    <x v="1"/>
    <n v="280638"/>
    <x v="446"/>
  </r>
  <r>
    <x v="447"/>
    <x v="268"/>
    <x v="14"/>
    <x v="2"/>
    <x v="2"/>
    <n v="6"/>
    <n v="52661"/>
    <n v="26817"/>
    <x v="1"/>
    <n v="315966"/>
    <x v="447"/>
  </r>
  <r>
    <x v="448"/>
    <x v="269"/>
    <x v="14"/>
    <x v="1"/>
    <x v="2"/>
    <n v="8"/>
    <n v="18125"/>
    <n v="19994"/>
    <x v="3"/>
    <n v="145000"/>
    <x v="448"/>
  </r>
  <r>
    <x v="449"/>
    <x v="270"/>
    <x v="14"/>
    <x v="1"/>
    <x v="2"/>
    <n v="1"/>
    <n v="23791"/>
    <n v="1781"/>
    <x v="2"/>
    <n v="23791"/>
    <x v="449"/>
  </r>
  <r>
    <x v="450"/>
    <x v="271"/>
    <x v="14"/>
    <x v="0"/>
    <x v="4"/>
    <n v="3"/>
    <n v="16552"/>
    <n v="38991"/>
    <x v="0"/>
    <n v="49656"/>
    <x v="450"/>
  </r>
  <r>
    <x v="451"/>
    <x v="271"/>
    <x v="14"/>
    <x v="4"/>
    <x v="2"/>
    <n v="9"/>
    <n v="51479"/>
    <n v="31112"/>
    <x v="3"/>
    <n v="463311"/>
    <x v="451"/>
  </r>
  <r>
    <x v="452"/>
    <x v="272"/>
    <x v="14"/>
    <x v="3"/>
    <x v="1"/>
    <n v="9"/>
    <n v="33674"/>
    <n v="10596"/>
    <x v="3"/>
    <n v="303066"/>
    <x v="452"/>
  </r>
  <r>
    <x v="453"/>
    <x v="273"/>
    <x v="14"/>
    <x v="0"/>
    <x v="4"/>
    <n v="4"/>
    <n v="30234"/>
    <n v="37727"/>
    <x v="0"/>
    <n v="120936"/>
    <x v="453"/>
  </r>
  <r>
    <x v="454"/>
    <x v="273"/>
    <x v="14"/>
    <x v="5"/>
    <x v="1"/>
    <n v="1"/>
    <n v="65950"/>
    <n v="42903"/>
    <x v="2"/>
    <n v="65950"/>
    <x v="454"/>
  </r>
  <r>
    <x v="455"/>
    <x v="273"/>
    <x v="14"/>
    <x v="3"/>
    <x v="1"/>
    <n v="2"/>
    <n v="28880"/>
    <n v="20584"/>
    <x v="2"/>
    <n v="57760"/>
    <x v="455"/>
  </r>
  <r>
    <x v="456"/>
    <x v="274"/>
    <x v="15"/>
    <x v="2"/>
    <x v="1"/>
    <n v="8"/>
    <n v="79634"/>
    <n v="47486"/>
    <x v="0"/>
    <n v="637072"/>
    <x v="456"/>
  </r>
  <r>
    <x v="457"/>
    <x v="275"/>
    <x v="15"/>
    <x v="2"/>
    <x v="3"/>
    <n v="7"/>
    <n v="67703"/>
    <n v="23663"/>
    <x v="3"/>
    <n v="473921"/>
    <x v="457"/>
  </r>
  <r>
    <x v="458"/>
    <x v="275"/>
    <x v="15"/>
    <x v="2"/>
    <x v="1"/>
    <n v="6"/>
    <n v="77316"/>
    <n v="10587"/>
    <x v="2"/>
    <n v="463896"/>
    <x v="458"/>
  </r>
  <r>
    <x v="459"/>
    <x v="276"/>
    <x v="15"/>
    <x v="0"/>
    <x v="2"/>
    <n v="5"/>
    <n v="68511"/>
    <n v="6105"/>
    <x v="3"/>
    <n v="342555"/>
    <x v="459"/>
  </r>
  <r>
    <x v="460"/>
    <x v="276"/>
    <x v="15"/>
    <x v="1"/>
    <x v="3"/>
    <n v="4"/>
    <n v="38567"/>
    <n v="15289"/>
    <x v="0"/>
    <n v="154268"/>
    <x v="460"/>
  </r>
  <r>
    <x v="461"/>
    <x v="277"/>
    <x v="15"/>
    <x v="3"/>
    <x v="1"/>
    <n v="4"/>
    <n v="73088"/>
    <n v="12005"/>
    <x v="2"/>
    <n v="292352"/>
    <x v="461"/>
  </r>
  <r>
    <x v="462"/>
    <x v="277"/>
    <x v="15"/>
    <x v="3"/>
    <x v="4"/>
    <n v="6"/>
    <n v="40032"/>
    <n v="6017"/>
    <x v="3"/>
    <n v="240192"/>
    <x v="462"/>
  </r>
  <r>
    <x v="463"/>
    <x v="278"/>
    <x v="15"/>
    <x v="0"/>
    <x v="4"/>
    <n v="1"/>
    <n v="61131"/>
    <n v="29228"/>
    <x v="2"/>
    <n v="61131"/>
    <x v="463"/>
  </r>
  <r>
    <x v="464"/>
    <x v="279"/>
    <x v="15"/>
    <x v="3"/>
    <x v="3"/>
    <n v="2"/>
    <n v="9608"/>
    <n v="3520"/>
    <x v="2"/>
    <n v="19216"/>
    <x v="464"/>
  </r>
  <r>
    <x v="465"/>
    <x v="279"/>
    <x v="15"/>
    <x v="4"/>
    <x v="4"/>
    <n v="4"/>
    <n v="59974"/>
    <n v="14171"/>
    <x v="2"/>
    <n v="239896"/>
    <x v="465"/>
  </r>
  <r>
    <x v="466"/>
    <x v="280"/>
    <x v="15"/>
    <x v="1"/>
    <x v="2"/>
    <n v="9"/>
    <n v="54561"/>
    <n v="45638"/>
    <x v="2"/>
    <n v="491049"/>
    <x v="466"/>
  </r>
  <r>
    <x v="467"/>
    <x v="281"/>
    <x v="15"/>
    <x v="3"/>
    <x v="3"/>
    <n v="9"/>
    <n v="77925"/>
    <n v="40112"/>
    <x v="0"/>
    <n v="701325"/>
    <x v="467"/>
  </r>
  <r>
    <x v="468"/>
    <x v="282"/>
    <x v="15"/>
    <x v="0"/>
    <x v="1"/>
    <n v="1"/>
    <n v="72466"/>
    <n v="35622"/>
    <x v="1"/>
    <n v="72466"/>
    <x v="468"/>
  </r>
  <r>
    <x v="469"/>
    <x v="282"/>
    <x v="15"/>
    <x v="3"/>
    <x v="1"/>
    <n v="9"/>
    <n v="10642"/>
    <n v="1645"/>
    <x v="2"/>
    <n v="95778"/>
    <x v="469"/>
  </r>
  <r>
    <x v="470"/>
    <x v="283"/>
    <x v="15"/>
    <x v="2"/>
    <x v="3"/>
    <n v="8"/>
    <n v="2961"/>
    <n v="29795"/>
    <x v="2"/>
    <n v="23688"/>
    <x v="470"/>
  </r>
  <r>
    <x v="471"/>
    <x v="284"/>
    <x v="15"/>
    <x v="0"/>
    <x v="3"/>
    <n v="8"/>
    <n v="36541"/>
    <n v="28386"/>
    <x v="2"/>
    <n v="292328"/>
    <x v="471"/>
  </r>
  <r>
    <x v="472"/>
    <x v="284"/>
    <x v="15"/>
    <x v="1"/>
    <x v="2"/>
    <n v="9"/>
    <n v="52790"/>
    <n v="23360"/>
    <x v="0"/>
    <n v="475110"/>
    <x v="472"/>
  </r>
  <r>
    <x v="473"/>
    <x v="285"/>
    <x v="15"/>
    <x v="5"/>
    <x v="4"/>
    <n v="3"/>
    <n v="11199"/>
    <n v="41785"/>
    <x v="2"/>
    <n v="33597"/>
    <x v="473"/>
  </r>
  <r>
    <x v="474"/>
    <x v="285"/>
    <x v="15"/>
    <x v="4"/>
    <x v="3"/>
    <n v="6"/>
    <n v="51696"/>
    <n v="49563"/>
    <x v="3"/>
    <n v="310176"/>
    <x v="474"/>
  </r>
  <r>
    <x v="475"/>
    <x v="285"/>
    <x v="15"/>
    <x v="5"/>
    <x v="4"/>
    <n v="2"/>
    <n v="33284"/>
    <n v="40901"/>
    <x v="2"/>
    <n v="66568"/>
    <x v="475"/>
  </r>
  <r>
    <x v="476"/>
    <x v="286"/>
    <x v="15"/>
    <x v="5"/>
    <x v="0"/>
    <n v="7"/>
    <n v="4212"/>
    <n v="49231"/>
    <x v="2"/>
    <n v="29484"/>
    <x v="476"/>
  </r>
  <r>
    <x v="477"/>
    <x v="286"/>
    <x v="15"/>
    <x v="0"/>
    <x v="0"/>
    <n v="3"/>
    <n v="61446"/>
    <n v="25570"/>
    <x v="1"/>
    <n v="184338"/>
    <x v="477"/>
  </r>
  <r>
    <x v="478"/>
    <x v="287"/>
    <x v="15"/>
    <x v="4"/>
    <x v="0"/>
    <n v="7"/>
    <n v="4226"/>
    <n v="30545"/>
    <x v="2"/>
    <n v="29582"/>
    <x v="478"/>
  </r>
  <r>
    <x v="479"/>
    <x v="287"/>
    <x v="15"/>
    <x v="0"/>
    <x v="0"/>
    <n v="4"/>
    <n v="57522"/>
    <n v="19658"/>
    <x v="1"/>
    <n v="230088"/>
    <x v="479"/>
  </r>
  <r>
    <x v="480"/>
    <x v="288"/>
    <x v="15"/>
    <x v="3"/>
    <x v="3"/>
    <n v="1"/>
    <n v="36878"/>
    <n v="16379"/>
    <x v="3"/>
    <n v="36878"/>
    <x v="480"/>
  </r>
  <r>
    <x v="481"/>
    <x v="288"/>
    <x v="15"/>
    <x v="3"/>
    <x v="3"/>
    <n v="9"/>
    <n v="6478"/>
    <n v="12439"/>
    <x v="3"/>
    <n v="58302"/>
    <x v="481"/>
  </r>
  <r>
    <x v="482"/>
    <x v="289"/>
    <x v="15"/>
    <x v="4"/>
    <x v="1"/>
    <n v="2"/>
    <n v="10456"/>
    <n v="39314"/>
    <x v="1"/>
    <n v="20912"/>
    <x v="482"/>
  </r>
  <r>
    <x v="483"/>
    <x v="290"/>
    <x v="15"/>
    <x v="5"/>
    <x v="0"/>
    <n v="4"/>
    <n v="77860"/>
    <n v="25765"/>
    <x v="1"/>
    <n v="311440"/>
    <x v="483"/>
  </r>
  <r>
    <x v="484"/>
    <x v="290"/>
    <x v="15"/>
    <x v="0"/>
    <x v="1"/>
    <n v="8"/>
    <n v="39214"/>
    <n v="11487"/>
    <x v="3"/>
    <n v="313712"/>
    <x v="484"/>
  </r>
  <r>
    <x v="485"/>
    <x v="291"/>
    <x v="15"/>
    <x v="0"/>
    <x v="3"/>
    <n v="8"/>
    <n v="45476"/>
    <n v="49868"/>
    <x v="1"/>
    <n v="363808"/>
    <x v="485"/>
  </r>
  <r>
    <x v="486"/>
    <x v="291"/>
    <x v="15"/>
    <x v="2"/>
    <x v="3"/>
    <n v="8"/>
    <n v="49730"/>
    <n v="27170"/>
    <x v="0"/>
    <n v="397840"/>
    <x v="486"/>
  </r>
  <r>
    <x v="487"/>
    <x v="292"/>
    <x v="15"/>
    <x v="3"/>
    <x v="4"/>
    <n v="8"/>
    <n v="6971"/>
    <n v="20363"/>
    <x v="1"/>
    <n v="55768"/>
    <x v="487"/>
  </r>
  <r>
    <x v="488"/>
    <x v="292"/>
    <x v="15"/>
    <x v="0"/>
    <x v="3"/>
    <n v="8"/>
    <n v="19701"/>
    <n v="38051"/>
    <x v="1"/>
    <n v="157608"/>
    <x v="488"/>
  </r>
  <r>
    <x v="489"/>
    <x v="292"/>
    <x v="15"/>
    <x v="3"/>
    <x v="0"/>
    <n v="6"/>
    <n v="15216"/>
    <n v="45629"/>
    <x v="1"/>
    <n v="91296"/>
    <x v="489"/>
  </r>
  <r>
    <x v="490"/>
    <x v="293"/>
    <x v="16"/>
    <x v="5"/>
    <x v="0"/>
    <n v="9"/>
    <n v="67418"/>
    <n v="35881"/>
    <x v="1"/>
    <n v="606762"/>
    <x v="490"/>
  </r>
  <r>
    <x v="491"/>
    <x v="294"/>
    <x v="16"/>
    <x v="2"/>
    <x v="0"/>
    <n v="9"/>
    <n v="68888"/>
    <n v="19394"/>
    <x v="0"/>
    <n v="619992"/>
    <x v="491"/>
  </r>
  <r>
    <x v="492"/>
    <x v="294"/>
    <x v="16"/>
    <x v="5"/>
    <x v="1"/>
    <n v="2"/>
    <n v="31341"/>
    <n v="23424"/>
    <x v="1"/>
    <n v="62682"/>
    <x v="492"/>
  </r>
  <r>
    <x v="493"/>
    <x v="295"/>
    <x v="16"/>
    <x v="3"/>
    <x v="2"/>
    <n v="2"/>
    <n v="61076"/>
    <n v="19450"/>
    <x v="2"/>
    <n v="122152"/>
    <x v="493"/>
  </r>
  <r>
    <x v="494"/>
    <x v="295"/>
    <x v="16"/>
    <x v="4"/>
    <x v="2"/>
    <n v="3"/>
    <n v="7727"/>
    <n v="20194"/>
    <x v="1"/>
    <n v="23181"/>
    <x v="494"/>
  </r>
  <r>
    <x v="495"/>
    <x v="296"/>
    <x v="16"/>
    <x v="1"/>
    <x v="3"/>
    <n v="1"/>
    <n v="34568"/>
    <n v="49831"/>
    <x v="1"/>
    <n v="34568"/>
    <x v="495"/>
  </r>
  <r>
    <x v="496"/>
    <x v="297"/>
    <x v="16"/>
    <x v="0"/>
    <x v="0"/>
    <n v="1"/>
    <n v="24726"/>
    <n v="26000"/>
    <x v="1"/>
    <n v="24726"/>
    <x v="496"/>
  </r>
  <r>
    <x v="497"/>
    <x v="297"/>
    <x v="16"/>
    <x v="5"/>
    <x v="0"/>
    <n v="1"/>
    <n v="46338"/>
    <n v="13576"/>
    <x v="1"/>
    <n v="46338"/>
    <x v="497"/>
  </r>
  <r>
    <x v="498"/>
    <x v="298"/>
    <x v="16"/>
    <x v="4"/>
    <x v="1"/>
    <n v="4"/>
    <n v="69076"/>
    <n v="17184"/>
    <x v="3"/>
    <n v="276304"/>
    <x v="498"/>
  </r>
  <r>
    <x v="499"/>
    <x v="299"/>
    <x v="16"/>
    <x v="5"/>
    <x v="3"/>
    <n v="8"/>
    <n v="73794"/>
    <n v="11403"/>
    <x v="1"/>
    <n v="590352"/>
    <x v="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66434-08FA-D54D-8BF7-ED1FFDE6D47B}" name="PivotTable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B6:D26" firstHeaderRow="0" firstDataRow="1" firstDataCol="1"/>
  <pivotFields count="14">
    <pivotField showAll="0" defaultSubtotal="0"/>
    <pivotField numFmtId="14" showAll="0" defaultSubtotal="0">
      <items count="3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</items>
    </pivotField>
    <pivotField showAll="0" sortType="ascending" defaultSubtotal="0">
      <items count="17">
        <item x="3"/>
        <item x="15"/>
        <item x="7"/>
        <item x="11"/>
        <item x="1"/>
        <item x="13"/>
        <item x="0"/>
        <item x="12"/>
        <item x="6"/>
        <item x="5"/>
        <item x="2"/>
        <item x="14"/>
        <item x="4"/>
        <item x="16"/>
        <item x="10"/>
        <item x="9"/>
        <item x="8"/>
      </items>
    </pivotField>
    <pivotField showAll="0" defaultSubtotal="0"/>
    <pivotField showAll="0" defaultSubtotal="0"/>
    <pivotField showAll="0" defaultSubtotal="0"/>
    <pivotField numFmtId="7" showAll="0" defaultSubtotal="0"/>
    <pivotField numFmtId="7" showAll="0" defaultSubtotal="0"/>
    <pivotField showAll="0" defaultSubtotal="0"/>
    <pivotField dataField="1" numFmtId="7" showAll="0" defaultSubtotal="0"/>
    <pivotField dataField="1" numFmtId="7"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x="1"/>
        <item x="2"/>
        <item x="3"/>
        <item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2">
    <field x="13"/>
    <field x="11"/>
  </rowFields>
  <rowItems count="2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0" baseField="0" baseItem="0" numFmtId="7"/>
    <dataField name="Sum of Revenue" fld="9" baseField="0" baseItem="0" numFmtId="7"/>
  </dataFields>
  <chartFormats count="2"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33089-A77E-9844-B6C7-59E03580B72B}" name="PivotTable1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6:J11" firstHeaderRow="1" firstDataRow="1" firstDataCol="1"/>
  <pivotFields count="14"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  <pivotField showAll="0"/>
    <pivotField showAll="0"/>
    <pivotField numFmtId="7" showAll="0"/>
    <pivotField numFmtId="7"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7" showAll="0"/>
    <pivotField numFmtId="7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Revenue" fld="9" baseField="0" baseItem="0" numFmtId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08A05-04A7-2742-BB2A-CBA7984F7D0D}" name="PivotTable1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17:G23" firstHeaderRow="1" firstDataRow="1" firstDataCol="1"/>
  <pivotFields count="14"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  <pivotField axis="axisRow" showAll="0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7" showAll="0"/>
    <pivotField numFmtId="7" showAll="0"/>
    <pivotField showAll="0"/>
    <pivotField dataField="1" numFmtId="7" showAll="0"/>
    <pivotField numFmtId="7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6">
    <i>
      <x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Sum of Revenue" fld="9" baseField="0" baseItem="0" numFmtId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C28C6-F4A7-9141-B66A-3D9DA0C8D589}" name="PivotTable1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6:G13" firstHeaderRow="1" firstDataRow="1" firstDataCol="1"/>
  <pivotFields count="14"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axis="axisRow" showAll="0" sortType="descending">
      <items count="7">
        <item x="4"/>
        <item x="1"/>
        <item x="3"/>
        <item x="5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7" showAll="0"/>
    <pivotField numFmtId="7" showAll="0"/>
    <pivotField showAll="0"/>
    <pivotField dataField="1" numFmtId="7" showAll="0"/>
    <pivotField numFmtId="7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7">
    <i>
      <x v="1"/>
    </i>
    <i>
      <x/>
    </i>
    <i>
      <x v="3"/>
    </i>
    <i>
      <x v="5"/>
    </i>
    <i>
      <x v="4"/>
    </i>
    <i>
      <x v="2"/>
    </i>
    <i t="grand">
      <x/>
    </i>
  </rowItems>
  <colItems count="1">
    <i/>
  </colItems>
  <dataFields count="1">
    <dataField name="Sum of Revenue" fld="9" baseField="0" baseItem="0" numFmtId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96DD0A-3BAD-3343-8DC8-3B87C5FFD4A1}" name="Table2" displayName="Table2" ref="A1:K501" totalsRowShown="0" tableBorderDxfId="11">
  <autoFilter ref="A1:K501" xr:uid="{1796DD0A-3BAD-3343-8DC8-3B87C5FFD4A1}"/>
  <tableColumns count="11">
    <tableColumn id="1" xr3:uid="{6FEC6598-2BBC-3A4F-BDC5-C4972F28A6F8}" name="Transaction_ID" dataDxfId="10"/>
    <tableColumn id="2" xr3:uid="{14080B27-85B6-BC43-AF3F-1AB3E469AA44}" name="Date" dataDxfId="9"/>
    <tableColumn id="3" xr3:uid="{CE674F67-F767-F140-B9F0-50AC4357CA42}" name="Month" dataDxfId="8">
      <calculatedColumnFormula>TEXT(Table2[[#This Row],[Date]],"mmm-yyyy")</calculatedColumnFormula>
    </tableColumn>
    <tableColumn id="4" xr3:uid="{FE318702-A6BB-E648-916E-67C20E4B763F}" name="Department" dataDxfId="7"/>
    <tableColumn id="5" xr3:uid="{2E35807F-304A-C548-8DEF-AE0123697AFB}" name="Product" dataDxfId="6"/>
    <tableColumn id="6" xr3:uid="{8B035386-D242-ED48-AFEB-26217438A6AD}" name="Quantity" dataDxfId="5"/>
    <tableColumn id="7" xr3:uid="{5541D96B-DADE-8246-97F9-D71088997876}" name="Unit_Price" dataDxfId="4"/>
    <tableColumn id="8" xr3:uid="{29846116-2283-7E49-A79D-0E31F286A0A1}" name="Expense" dataDxfId="3"/>
    <tableColumn id="9" xr3:uid="{3F8EAF6B-E8C1-AF48-9AEF-547431595440}" name="Payment_Mode" dataDxfId="2"/>
    <tableColumn id="10" xr3:uid="{115C3711-89AE-BF46-BEA9-7A8425D49BF4}" name="Revenue" dataDxfId="1">
      <calculatedColumnFormula>G2*F2</calculatedColumnFormula>
    </tableColumn>
    <tableColumn id="11" xr3:uid="{66C473BB-5DBF-BD45-92EC-50AE53A895D1}" name="Profit" dataDxfId="0">
      <calculatedColumnFormula>Table2[[#This Row],[Revenue]]-Table2[[#This Row],[Expense]]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B1E9-9CBC-604E-A087-D19AF1D43D1C}">
  <dimension ref="A1:H501"/>
  <sheetViews>
    <sheetView workbookViewId="0">
      <selection activeCell="J6" sqref="J6"/>
    </sheetView>
  </sheetViews>
  <sheetFormatPr baseColWidth="10" defaultRowHeight="16"/>
  <cols>
    <col min="2" max="2" width="20.33203125" customWidth="1"/>
    <col min="3" max="3" width="17" customWidth="1"/>
    <col min="4" max="4" width="14.83203125" customWidth="1"/>
    <col min="5" max="5" width="13.5" customWidth="1"/>
    <col min="6" max="6" width="15.1640625" customWidth="1"/>
    <col min="7" max="7" width="13.6640625" customWidth="1"/>
    <col min="8" max="8" width="18.5" customWidth="1"/>
  </cols>
  <sheetData>
    <row r="1" spans="1:8">
      <c r="A1" s="6" t="s">
        <v>8</v>
      </c>
      <c r="B1" s="6" t="s">
        <v>9</v>
      </c>
      <c r="C1" s="6" t="s">
        <v>0</v>
      </c>
      <c r="D1" s="6" t="s">
        <v>10</v>
      </c>
      <c r="E1" s="6" t="s">
        <v>5</v>
      </c>
      <c r="F1" s="6" t="s">
        <v>11</v>
      </c>
      <c r="G1" s="6" t="s">
        <v>12</v>
      </c>
      <c r="H1" s="6" t="s">
        <v>13</v>
      </c>
    </row>
    <row r="2" spans="1:8">
      <c r="A2" s="7" t="s">
        <v>14</v>
      </c>
      <c r="B2" s="8">
        <v>45293</v>
      </c>
      <c r="C2" s="7" t="s">
        <v>15</v>
      </c>
      <c r="D2" s="7" t="s">
        <v>16</v>
      </c>
      <c r="E2" s="7">
        <v>2</v>
      </c>
      <c r="F2" s="7">
        <v>47381</v>
      </c>
      <c r="G2" s="7">
        <v>3023</v>
      </c>
      <c r="H2" s="7" t="s">
        <v>17</v>
      </c>
    </row>
    <row r="3" spans="1:8">
      <c r="A3" s="7" t="s">
        <v>18</v>
      </c>
      <c r="B3" s="8">
        <v>45293</v>
      </c>
      <c r="C3" s="7" t="s">
        <v>15</v>
      </c>
      <c r="D3" s="7" t="s">
        <v>16</v>
      </c>
      <c r="E3" s="7">
        <v>4</v>
      </c>
      <c r="F3" s="7">
        <v>6401</v>
      </c>
      <c r="G3" s="7">
        <v>8521</v>
      </c>
      <c r="H3" s="7" t="s">
        <v>19</v>
      </c>
    </row>
    <row r="4" spans="1:8">
      <c r="A4" s="7" t="s">
        <v>20</v>
      </c>
      <c r="B4" s="8">
        <v>45293</v>
      </c>
      <c r="C4" s="7" t="s">
        <v>2</v>
      </c>
      <c r="D4" s="7" t="s">
        <v>16</v>
      </c>
      <c r="E4" s="7">
        <v>7</v>
      </c>
      <c r="F4" s="7">
        <v>6042</v>
      </c>
      <c r="G4" s="7">
        <v>22384</v>
      </c>
      <c r="H4" s="7" t="s">
        <v>19</v>
      </c>
    </row>
    <row r="5" spans="1:8">
      <c r="A5" s="7" t="s">
        <v>21</v>
      </c>
      <c r="B5" s="8">
        <v>45295</v>
      </c>
      <c r="C5" s="7" t="s">
        <v>2</v>
      </c>
      <c r="D5" s="7" t="s">
        <v>22</v>
      </c>
      <c r="E5" s="7">
        <v>1</v>
      </c>
      <c r="F5" s="7">
        <v>60060</v>
      </c>
      <c r="G5" s="7">
        <v>46096</v>
      </c>
      <c r="H5" s="7" t="s">
        <v>17</v>
      </c>
    </row>
    <row r="6" spans="1:8">
      <c r="A6" s="7" t="s">
        <v>23</v>
      </c>
      <c r="B6" s="8">
        <v>45296</v>
      </c>
      <c r="C6" s="7" t="s">
        <v>15</v>
      </c>
      <c r="D6" s="7" t="s">
        <v>24</v>
      </c>
      <c r="E6" s="7">
        <v>8</v>
      </c>
      <c r="F6" s="7">
        <v>73879</v>
      </c>
      <c r="G6" s="7">
        <v>8999</v>
      </c>
      <c r="H6" s="7" t="s">
        <v>19</v>
      </c>
    </row>
    <row r="7" spans="1:8">
      <c r="A7" s="7" t="s">
        <v>25</v>
      </c>
      <c r="B7" s="8">
        <v>45297</v>
      </c>
      <c r="C7" s="7" t="s">
        <v>26</v>
      </c>
      <c r="D7" s="7" t="s">
        <v>27</v>
      </c>
      <c r="E7" s="7">
        <v>1</v>
      </c>
      <c r="F7" s="7">
        <v>39571</v>
      </c>
      <c r="G7" s="7">
        <v>7416</v>
      </c>
      <c r="H7" s="7" t="s">
        <v>17</v>
      </c>
    </row>
    <row r="8" spans="1:8">
      <c r="A8" s="7" t="s">
        <v>28</v>
      </c>
      <c r="B8" s="8">
        <v>45300</v>
      </c>
      <c r="C8" s="7" t="s">
        <v>15</v>
      </c>
      <c r="D8" s="7" t="s">
        <v>24</v>
      </c>
      <c r="E8" s="7">
        <v>1</v>
      </c>
      <c r="F8" s="7">
        <v>34584</v>
      </c>
      <c r="G8" s="7">
        <v>34937</v>
      </c>
      <c r="H8" s="7" t="s">
        <v>17</v>
      </c>
    </row>
    <row r="9" spans="1:8">
      <c r="A9" s="7" t="s">
        <v>29</v>
      </c>
      <c r="B9" s="8">
        <v>45300</v>
      </c>
      <c r="C9" s="7" t="s">
        <v>2</v>
      </c>
      <c r="D9" s="7" t="s">
        <v>27</v>
      </c>
      <c r="E9" s="7">
        <v>8</v>
      </c>
      <c r="F9" s="7">
        <v>1171</v>
      </c>
      <c r="G9" s="7">
        <v>7971</v>
      </c>
      <c r="H9" s="7" t="s">
        <v>30</v>
      </c>
    </row>
    <row r="10" spans="1:8">
      <c r="A10" s="7" t="s">
        <v>31</v>
      </c>
      <c r="B10" s="8">
        <v>45304</v>
      </c>
      <c r="C10" s="7" t="s">
        <v>15</v>
      </c>
      <c r="D10" s="7" t="s">
        <v>32</v>
      </c>
      <c r="E10" s="7">
        <v>2</v>
      </c>
      <c r="F10" s="7">
        <v>49104</v>
      </c>
      <c r="G10" s="7">
        <v>2431</v>
      </c>
      <c r="H10" s="7" t="s">
        <v>17</v>
      </c>
    </row>
    <row r="11" spans="1:8">
      <c r="A11" s="7" t="s">
        <v>33</v>
      </c>
      <c r="B11" s="8">
        <v>45305</v>
      </c>
      <c r="C11" s="7" t="s">
        <v>3</v>
      </c>
      <c r="D11" s="7" t="s">
        <v>16</v>
      </c>
      <c r="E11" s="7">
        <v>2</v>
      </c>
      <c r="F11" s="7">
        <v>28098</v>
      </c>
      <c r="G11" s="7">
        <v>24928</v>
      </c>
      <c r="H11" s="7" t="s">
        <v>17</v>
      </c>
    </row>
    <row r="12" spans="1:8">
      <c r="A12" s="7" t="s">
        <v>34</v>
      </c>
      <c r="B12" s="8">
        <v>45306</v>
      </c>
      <c r="C12" s="7" t="s">
        <v>1</v>
      </c>
      <c r="D12" s="7" t="s">
        <v>32</v>
      </c>
      <c r="E12" s="7">
        <v>4</v>
      </c>
      <c r="F12" s="7">
        <v>37884</v>
      </c>
      <c r="G12" s="7">
        <v>30411</v>
      </c>
      <c r="H12" s="7" t="s">
        <v>17</v>
      </c>
    </row>
    <row r="13" spans="1:8">
      <c r="A13" s="7" t="s">
        <v>35</v>
      </c>
      <c r="B13" s="8">
        <v>45306</v>
      </c>
      <c r="C13" s="7" t="s">
        <v>1</v>
      </c>
      <c r="D13" s="7" t="s">
        <v>22</v>
      </c>
      <c r="E13" s="7">
        <v>5</v>
      </c>
      <c r="F13" s="7">
        <v>64815</v>
      </c>
      <c r="G13" s="7">
        <v>27201</v>
      </c>
      <c r="H13" s="7" t="s">
        <v>36</v>
      </c>
    </row>
    <row r="14" spans="1:8">
      <c r="A14" s="7" t="s">
        <v>37</v>
      </c>
      <c r="B14" s="8">
        <v>45308</v>
      </c>
      <c r="C14" s="7" t="s">
        <v>15</v>
      </c>
      <c r="D14" s="7" t="s">
        <v>22</v>
      </c>
      <c r="E14" s="7">
        <v>6</v>
      </c>
      <c r="F14" s="7">
        <v>58213</v>
      </c>
      <c r="G14" s="7">
        <v>6433</v>
      </c>
      <c r="H14" s="7" t="s">
        <v>19</v>
      </c>
    </row>
    <row r="15" spans="1:8">
      <c r="A15" s="7" t="s">
        <v>38</v>
      </c>
      <c r="B15" s="8">
        <v>45309</v>
      </c>
      <c r="C15" s="7" t="s">
        <v>4</v>
      </c>
      <c r="D15" s="7" t="s">
        <v>22</v>
      </c>
      <c r="E15" s="7">
        <v>7</v>
      </c>
      <c r="F15" s="7">
        <v>61832</v>
      </c>
      <c r="G15" s="7">
        <v>10794</v>
      </c>
      <c r="H15" s="7" t="s">
        <v>17</v>
      </c>
    </row>
    <row r="16" spans="1:8">
      <c r="A16" s="7" t="s">
        <v>39</v>
      </c>
      <c r="B16" s="8">
        <v>45312</v>
      </c>
      <c r="C16" s="7" t="s">
        <v>15</v>
      </c>
      <c r="D16" s="7" t="s">
        <v>27</v>
      </c>
      <c r="E16" s="7">
        <v>5</v>
      </c>
      <c r="F16" s="7">
        <v>50638</v>
      </c>
      <c r="G16" s="7">
        <v>46268</v>
      </c>
      <c r="H16" s="7" t="s">
        <v>30</v>
      </c>
    </row>
    <row r="17" spans="1:8">
      <c r="A17" s="7" t="s">
        <v>40</v>
      </c>
      <c r="B17" s="8">
        <v>45312</v>
      </c>
      <c r="C17" s="7" t="s">
        <v>3</v>
      </c>
      <c r="D17" s="7" t="s">
        <v>22</v>
      </c>
      <c r="E17" s="7">
        <v>6</v>
      </c>
      <c r="F17" s="7">
        <v>65232</v>
      </c>
      <c r="G17" s="7">
        <v>20033</v>
      </c>
      <c r="H17" s="7" t="s">
        <v>30</v>
      </c>
    </row>
    <row r="18" spans="1:8">
      <c r="A18" s="7" t="s">
        <v>41</v>
      </c>
      <c r="B18" s="8">
        <v>45313</v>
      </c>
      <c r="C18" s="7" t="s">
        <v>4</v>
      </c>
      <c r="D18" s="7" t="s">
        <v>22</v>
      </c>
      <c r="E18" s="7">
        <v>7</v>
      </c>
      <c r="F18" s="7">
        <v>65465</v>
      </c>
      <c r="G18" s="7">
        <v>37495</v>
      </c>
      <c r="H18" s="7" t="s">
        <v>36</v>
      </c>
    </row>
    <row r="19" spans="1:8">
      <c r="A19" s="7" t="s">
        <v>42</v>
      </c>
      <c r="B19" s="8">
        <v>45313</v>
      </c>
      <c r="C19" s="7" t="s">
        <v>3</v>
      </c>
      <c r="D19" s="7" t="s">
        <v>22</v>
      </c>
      <c r="E19" s="7">
        <v>3</v>
      </c>
      <c r="F19" s="7">
        <v>10366</v>
      </c>
      <c r="G19" s="7">
        <v>17299</v>
      </c>
      <c r="H19" s="7" t="s">
        <v>36</v>
      </c>
    </row>
    <row r="20" spans="1:8">
      <c r="A20" s="7" t="s">
        <v>43</v>
      </c>
      <c r="B20" s="8">
        <v>45318</v>
      </c>
      <c r="C20" s="7" t="s">
        <v>1</v>
      </c>
      <c r="D20" s="7" t="s">
        <v>22</v>
      </c>
      <c r="E20" s="7">
        <v>9</v>
      </c>
      <c r="F20" s="7">
        <v>28770</v>
      </c>
      <c r="G20" s="7">
        <v>10346</v>
      </c>
      <c r="H20" s="7" t="s">
        <v>17</v>
      </c>
    </row>
    <row r="21" spans="1:8">
      <c r="A21" s="7" t="s">
        <v>44</v>
      </c>
      <c r="B21" s="8">
        <v>45319</v>
      </c>
      <c r="C21" s="7" t="s">
        <v>1</v>
      </c>
      <c r="D21" s="7" t="s">
        <v>16</v>
      </c>
      <c r="E21" s="7">
        <v>8</v>
      </c>
      <c r="F21" s="7">
        <v>40890</v>
      </c>
      <c r="G21" s="7">
        <v>19509</v>
      </c>
      <c r="H21" s="7" t="s">
        <v>17</v>
      </c>
    </row>
    <row r="22" spans="1:8">
      <c r="A22" s="7" t="s">
        <v>45</v>
      </c>
      <c r="B22" s="8">
        <v>45319</v>
      </c>
      <c r="C22" s="7" t="s">
        <v>2</v>
      </c>
      <c r="D22" s="7" t="s">
        <v>16</v>
      </c>
      <c r="E22" s="7">
        <v>8</v>
      </c>
      <c r="F22" s="7">
        <v>48731</v>
      </c>
      <c r="G22" s="7">
        <v>35782</v>
      </c>
      <c r="H22" s="7" t="s">
        <v>19</v>
      </c>
    </row>
    <row r="23" spans="1:8">
      <c r="A23" s="7" t="s">
        <v>46</v>
      </c>
      <c r="B23" s="8">
        <v>45320</v>
      </c>
      <c r="C23" s="7" t="s">
        <v>15</v>
      </c>
      <c r="D23" s="7" t="s">
        <v>32</v>
      </c>
      <c r="E23" s="7">
        <v>7</v>
      </c>
      <c r="F23" s="7">
        <v>61463</v>
      </c>
      <c r="G23" s="7">
        <v>24252</v>
      </c>
      <c r="H23" s="7" t="s">
        <v>17</v>
      </c>
    </row>
    <row r="24" spans="1:8">
      <c r="A24" s="7" t="s">
        <v>47</v>
      </c>
      <c r="B24" s="8">
        <v>45324</v>
      </c>
      <c r="C24" s="7" t="s">
        <v>1</v>
      </c>
      <c r="D24" s="7" t="s">
        <v>32</v>
      </c>
      <c r="E24" s="7">
        <v>8</v>
      </c>
      <c r="F24" s="7">
        <v>7921</v>
      </c>
      <c r="G24" s="7">
        <v>31268</v>
      </c>
      <c r="H24" s="7" t="s">
        <v>19</v>
      </c>
    </row>
    <row r="25" spans="1:8">
      <c r="A25" s="7" t="s">
        <v>48</v>
      </c>
      <c r="B25" s="8">
        <v>45324</v>
      </c>
      <c r="C25" s="7" t="s">
        <v>4</v>
      </c>
      <c r="D25" s="7" t="s">
        <v>24</v>
      </c>
      <c r="E25" s="7">
        <v>2</v>
      </c>
      <c r="F25" s="7">
        <v>8288</v>
      </c>
      <c r="G25" s="7">
        <v>12739</v>
      </c>
      <c r="H25" s="7" t="s">
        <v>36</v>
      </c>
    </row>
    <row r="26" spans="1:8">
      <c r="A26" s="7" t="s">
        <v>49</v>
      </c>
      <c r="B26" s="8">
        <v>45326</v>
      </c>
      <c r="C26" s="7" t="s">
        <v>15</v>
      </c>
      <c r="D26" s="7" t="s">
        <v>22</v>
      </c>
      <c r="E26" s="7">
        <v>5</v>
      </c>
      <c r="F26" s="7">
        <v>39810</v>
      </c>
      <c r="G26" s="7">
        <v>48639</v>
      </c>
      <c r="H26" s="7" t="s">
        <v>19</v>
      </c>
    </row>
    <row r="27" spans="1:8">
      <c r="A27" s="7" t="s">
        <v>50</v>
      </c>
      <c r="B27" s="8">
        <v>45326</v>
      </c>
      <c r="C27" s="7" t="s">
        <v>4</v>
      </c>
      <c r="D27" s="7" t="s">
        <v>32</v>
      </c>
      <c r="E27" s="7">
        <v>8</v>
      </c>
      <c r="F27" s="7">
        <v>38967</v>
      </c>
      <c r="G27" s="7">
        <v>19284</v>
      </c>
      <c r="H27" s="7" t="s">
        <v>30</v>
      </c>
    </row>
    <row r="28" spans="1:8">
      <c r="A28" s="7" t="s">
        <v>51</v>
      </c>
      <c r="B28" s="8">
        <v>45326</v>
      </c>
      <c r="C28" s="7" t="s">
        <v>3</v>
      </c>
      <c r="D28" s="7" t="s">
        <v>24</v>
      </c>
      <c r="E28" s="7">
        <v>1</v>
      </c>
      <c r="F28" s="7">
        <v>78540</v>
      </c>
      <c r="G28" s="7">
        <v>7450</v>
      </c>
      <c r="H28" s="7" t="s">
        <v>30</v>
      </c>
    </row>
    <row r="29" spans="1:8">
      <c r="A29" s="7" t="s">
        <v>52</v>
      </c>
      <c r="B29" s="8">
        <v>45327</v>
      </c>
      <c r="C29" s="7" t="s">
        <v>26</v>
      </c>
      <c r="D29" s="7" t="s">
        <v>27</v>
      </c>
      <c r="E29" s="7">
        <v>9</v>
      </c>
      <c r="F29" s="7">
        <v>43328</v>
      </c>
      <c r="G29" s="7">
        <v>16261</v>
      </c>
      <c r="H29" s="7" t="s">
        <v>19</v>
      </c>
    </row>
    <row r="30" spans="1:8">
      <c r="A30" s="7" t="s">
        <v>53</v>
      </c>
      <c r="B30" s="8">
        <v>45328</v>
      </c>
      <c r="C30" s="7" t="s">
        <v>15</v>
      </c>
      <c r="D30" s="7" t="s">
        <v>22</v>
      </c>
      <c r="E30" s="7">
        <v>6</v>
      </c>
      <c r="F30" s="7">
        <v>47576</v>
      </c>
      <c r="G30" s="7">
        <v>14521</v>
      </c>
      <c r="H30" s="7" t="s">
        <v>19</v>
      </c>
    </row>
    <row r="31" spans="1:8">
      <c r="A31" s="7" t="s">
        <v>54</v>
      </c>
      <c r="B31" s="8">
        <v>45328</v>
      </c>
      <c r="C31" s="7" t="s">
        <v>3</v>
      </c>
      <c r="D31" s="7" t="s">
        <v>27</v>
      </c>
      <c r="E31" s="7">
        <v>5</v>
      </c>
      <c r="F31" s="7">
        <v>64879</v>
      </c>
      <c r="G31" s="7">
        <v>41718</v>
      </c>
      <c r="H31" s="7" t="s">
        <v>36</v>
      </c>
    </row>
    <row r="32" spans="1:8">
      <c r="A32" s="7" t="s">
        <v>55</v>
      </c>
      <c r="B32" s="8">
        <v>45329</v>
      </c>
      <c r="C32" s="7" t="s">
        <v>2</v>
      </c>
      <c r="D32" s="7" t="s">
        <v>22</v>
      </c>
      <c r="E32" s="7">
        <v>1</v>
      </c>
      <c r="F32" s="7">
        <v>58406</v>
      </c>
      <c r="G32" s="7">
        <v>47443</v>
      </c>
      <c r="H32" s="7" t="s">
        <v>19</v>
      </c>
    </row>
    <row r="33" spans="1:8">
      <c r="A33" s="7" t="s">
        <v>56</v>
      </c>
      <c r="B33" s="8">
        <v>45330</v>
      </c>
      <c r="C33" s="7" t="s">
        <v>15</v>
      </c>
      <c r="D33" s="7" t="s">
        <v>32</v>
      </c>
      <c r="E33" s="7">
        <v>8</v>
      </c>
      <c r="F33" s="7">
        <v>12911</v>
      </c>
      <c r="G33" s="7">
        <v>21354</v>
      </c>
      <c r="H33" s="7" t="s">
        <v>30</v>
      </c>
    </row>
    <row r="34" spans="1:8">
      <c r="A34" s="7" t="s">
        <v>57</v>
      </c>
      <c r="B34" s="8">
        <v>45332</v>
      </c>
      <c r="C34" s="7" t="s">
        <v>1</v>
      </c>
      <c r="D34" s="7" t="s">
        <v>32</v>
      </c>
      <c r="E34" s="7">
        <v>9</v>
      </c>
      <c r="F34" s="7">
        <v>9935</v>
      </c>
      <c r="G34" s="7">
        <v>11258</v>
      </c>
      <c r="H34" s="7" t="s">
        <v>19</v>
      </c>
    </row>
    <row r="35" spans="1:8">
      <c r="A35" s="7" t="s">
        <v>58</v>
      </c>
      <c r="B35" s="8">
        <v>45332</v>
      </c>
      <c r="C35" s="7" t="s">
        <v>2</v>
      </c>
      <c r="D35" s="7" t="s">
        <v>16</v>
      </c>
      <c r="E35" s="7">
        <v>9</v>
      </c>
      <c r="F35" s="7">
        <v>34255</v>
      </c>
      <c r="G35" s="7">
        <v>31254</v>
      </c>
      <c r="H35" s="7" t="s">
        <v>36</v>
      </c>
    </row>
    <row r="36" spans="1:8">
      <c r="A36" s="7" t="s">
        <v>59</v>
      </c>
      <c r="B36" s="8">
        <v>45333</v>
      </c>
      <c r="C36" s="7" t="s">
        <v>2</v>
      </c>
      <c r="D36" s="7" t="s">
        <v>22</v>
      </c>
      <c r="E36" s="7">
        <v>3</v>
      </c>
      <c r="F36" s="7">
        <v>71087</v>
      </c>
      <c r="G36" s="7">
        <v>30309</v>
      </c>
      <c r="H36" s="7" t="s">
        <v>19</v>
      </c>
    </row>
    <row r="37" spans="1:8">
      <c r="A37" s="7" t="s">
        <v>60</v>
      </c>
      <c r="B37" s="8">
        <v>45335</v>
      </c>
      <c r="C37" s="7" t="s">
        <v>4</v>
      </c>
      <c r="D37" s="7" t="s">
        <v>16</v>
      </c>
      <c r="E37" s="7">
        <v>5</v>
      </c>
      <c r="F37" s="7">
        <v>31510</v>
      </c>
      <c r="G37" s="7">
        <v>37060</v>
      </c>
      <c r="H37" s="7" t="s">
        <v>30</v>
      </c>
    </row>
    <row r="38" spans="1:8">
      <c r="A38" s="7" t="s">
        <v>61</v>
      </c>
      <c r="B38" s="8">
        <v>45335</v>
      </c>
      <c r="C38" s="7" t="s">
        <v>26</v>
      </c>
      <c r="D38" s="7" t="s">
        <v>32</v>
      </c>
      <c r="E38" s="7">
        <v>2</v>
      </c>
      <c r="F38" s="7">
        <v>63211</v>
      </c>
      <c r="G38" s="7">
        <v>8896</v>
      </c>
      <c r="H38" s="7" t="s">
        <v>30</v>
      </c>
    </row>
    <row r="39" spans="1:8">
      <c r="A39" s="7" t="s">
        <v>62</v>
      </c>
      <c r="B39" s="8">
        <v>45336</v>
      </c>
      <c r="C39" s="7" t="s">
        <v>26</v>
      </c>
      <c r="D39" s="7" t="s">
        <v>22</v>
      </c>
      <c r="E39" s="7">
        <v>6</v>
      </c>
      <c r="F39" s="7">
        <v>20603</v>
      </c>
      <c r="G39" s="7">
        <v>20675</v>
      </c>
      <c r="H39" s="7" t="s">
        <v>36</v>
      </c>
    </row>
    <row r="40" spans="1:8">
      <c r="A40" s="7" t="s">
        <v>63</v>
      </c>
      <c r="B40" s="8">
        <v>45337</v>
      </c>
      <c r="C40" s="7" t="s">
        <v>4</v>
      </c>
      <c r="D40" s="7" t="s">
        <v>24</v>
      </c>
      <c r="E40" s="7">
        <v>5</v>
      </c>
      <c r="F40" s="7">
        <v>17653</v>
      </c>
      <c r="G40" s="7">
        <v>42855</v>
      </c>
      <c r="H40" s="7" t="s">
        <v>36</v>
      </c>
    </row>
    <row r="41" spans="1:8">
      <c r="A41" s="7" t="s">
        <v>64</v>
      </c>
      <c r="B41" s="8">
        <v>45339</v>
      </c>
      <c r="C41" s="7" t="s">
        <v>2</v>
      </c>
      <c r="D41" s="7" t="s">
        <v>32</v>
      </c>
      <c r="E41" s="7">
        <v>5</v>
      </c>
      <c r="F41" s="7">
        <v>18227</v>
      </c>
      <c r="G41" s="7">
        <v>9329</v>
      </c>
      <c r="H41" s="7" t="s">
        <v>30</v>
      </c>
    </row>
    <row r="42" spans="1:8">
      <c r="A42" s="7" t="s">
        <v>65</v>
      </c>
      <c r="B42" s="8">
        <v>45340</v>
      </c>
      <c r="C42" s="7" t="s">
        <v>4</v>
      </c>
      <c r="D42" s="7" t="s">
        <v>24</v>
      </c>
      <c r="E42" s="7">
        <v>2</v>
      </c>
      <c r="F42" s="7">
        <v>18272</v>
      </c>
      <c r="G42" s="7">
        <v>39787</v>
      </c>
      <c r="H42" s="7" t="s">
        <v>19</v>
      </c>
    </row>
    <row r="43" spans="1:8">
      <c r="A43" s="7" t="s">
        <v>66</v>
      </c>
      <c r="B43" s="8">
        <v>45340</v>
      </c>
      <c r="C43" s="7" t="s">
        <v>26</v>
      </c>
      <c r="D43" s="7" t="s">
        <v>22</v>
      </c>
      <c r="E43" s="7">
        <v>8</v>
      </c>
      <c r="F43" s="7">
        <v>7410</v>
      </c>
      <c r="G43" s="7">
        <v>30009</v>
      </c>
      <c r="H43" s="7" t="s">
        <v>30</v>
      </c>
    </row>
    <row r="44" spans="1:8">
      <c r="A44" s="7" t="s">
        <v>67</v>
      </c>
      <c r="B44" s="8">
        <v>45341</v>
      </c>
      <c r="C44" s="7" t="s">
        <v>4</v>
      </c>
      <c r="D44" s="7" t="s">
        <v>32</v>
      </c>
      <c r="E44" s="7">
        <v>8</v>
      </c>
      <c r="F44" s="7">
        <v>45879</v>
      </c>
      <c r="G44" s="7">
        <v>8909</v>
      </c>
      <c r="H44" s="7" t="s">
        <v>19</v>
      </c>
    </row>
    <row r="45" spans="1:8">
      <c r="A45" s="7" t="s">
        <v>68</v>
      </c>
      <c r="B45" s="8">
        <v>45342</v>
      </c>
      <c r="C45" s="7" t="s">
        <v>2</v>
      </c>
      <c r="D45" s="7" t="s">
        <v>24</v>
      </c>
      <c r="E45" s="7">
        <v>3</v>
      </c>
      <c r="F45" s="7">
        <v>63949</v>
      </c>
      <c r="G45" s="7">
        <v>15042</v>
      </c>
      <c r="H45" s="7" t="s">
        <v>36</v>
      </c>
    </row>
    <row r="46" spans="1:8">
      <c r="A46" s="7" t="s">
        <v>69</v>
      </c>
      <c r="B46" s="8">
        <v>45342</v>
      </c>
      <c r="C46" s="7" t="s">
        <v>3</v>
      </c>
      <c r="D46" s="7" t="s">
        <v>16</v>
      </c>
      <c r="E46" s="7">
        <v>4</v>
      </c>
      <c r="F46" s="7">
        <v>76795</v>
      </c>
      <c r="G46" s="7">
        <v>44732</v>
      </c>
      <c r="H46" s="7" t="s">
        <v>19</v>
      </c>
    </row>
    <row r="47" spans="1:8">
      <c r="A47" s="7" t="s">
        <v>70</v>
      </c>
      <c r="B47" s="8">
        <v>45343</v>
      </c>
      <c r="C47" s="7" t="s">
        <v>15</v>
      </c>
      <c r="D47" s="7" t="s">
        <v>22</v>
      </c>
      <c r="E47" s="7">
        <v>2</v>
      </c>
      <c r="F47" s="7">
        <v>74294</v>
      </c>
      <c r="G47" s="7">
        <v>14493</v>
      </c>
      <c r="H47" s="7" t="s">
        <v>36</v>
      </c>
    </row>
    <row r="48" spans="1:8">
      <c r="A48" s="7" t="s">
        <v>71</v>
      </c>
      <c r="B48" s="8">
        <v>45343</v>
      </c>
      <c r="C48" s="7" t="s">
        <v>26</v>
      </c>
      <c r="D48" s="7" t="s">
        <v>24</v>
      </c>
      <c r="E48" s="7">
        <v>8</v>
      </c>
      <c r="F48" s="7">
        <v>56654</v>
      </c>
      <c r="G48" s="7">
        <v>8345</v>
      </c>
      <c r="H48" s="7" t="s">
        <v>19</v>
      </c>
    </row>
    <row r="49" spans="1:8">
      <c r="A49" s="7" t="s">
        <v>72</v>
      </c>
      <c r="B49" s="8">
        <v>45344</v>
      </c>
      <c r="C49" s="7" t="s">
        <v>1</v>
      </c>
      <c r="D49" s="7" t="s">
        <v>16</v>
      </c>
      <c r="E49" s="7">
        <v>7</v>
      </c>
      <c r="F49" s="7">
        <v>27466</v>
      </c>
      <c r="G49" s="7">
        <v>25286</v>
      </c>
      <c r="H49" s="7" t="s">
        <v>19</v>
      </c>
    </row>
    <row r="50" spans="1:8">
      <c r="A50" s="7" t="s">
        <v>73</v>
      </c>
      <c r="B50" s="8">
        <v>45344</v>
      </c>
      <c r="C50" s="7" t="s">
        <v>15</v>
      </c>
      <c r="D50" s="7" t="s">
        <v>22</v>
      </c>
      <c r="E50" s="7">
        <v>3</v>
      </c>
      <c r="F50" s="7">
        <v>22175</v>
      </c>
      <c r="G50" s="7">
        <v>13693</v>
      </c>
      <c r="H50" s="7" t="s">
        <v>17</v>
      </c>
    </row>
    <row r="51" spans="1:8">
      <c r="A51" s="7" t="s">
        <v>74</v>
      </c>
      <c r="B51" s="8">
        <v>45344</v>
      </c>
      <c r="C51" s="7" t="s">
        <v>4</v>
      </c>
      <c r="D51" s="7" t="s">
        <v>22</v>
      </c>
      <c r="E51" s="7">
        <v>1</v>
      </c>
      <c r="F51" s="7">
        <v>48744</v>
      </c>
      <c r="G51" s="7">
        <v>48945</v>
      </c>
      <c r="H51" s="7" t="s">
        <v>36</v>
      </c>
    </row>
    <row r="52" spans="1:8">
      <c r="A52" s="7" t="s">
        <v>75</v>
      </c>
      <c r="B52" s="8">
        <v>45345</v>
      </c>
      <c r="C52" s="7" t="s">
        <v>2</v>
      </c>
      <c r="D52" s="7" t="s">
        <v>32</v>
      </c>
      <c r="E52" s="7">
        <v>9</v>
      </c>
      <c r="F52" s="7">
        <v>6512</v>
      </c>
      <c r="G52" s="7">
        <v>27661</v>
      </c>
      <c r="H52" s="7" t="s">
        <v>17</v>
      </c>
    </row>
    <row r="53" spans="1:8">
      <c r="A53" s="7" t="s">
        <v>76</v>
      </c>
      <c r="B53" s="8">
        <v>45345</v>
      </c>
      <c r="C53" s="7" t="s">
        <v>1</v>
      </c>
      <c r="D53" s="7" t="s">
        <v>22</v>
      </c>
      <c r="E53" s="7">
        <v>6</v>
      </c>
      <c r="F53" s="7">
        <v>38185</v>
      </c>
      <c r="G53" s="7">
        <v>19474</v>
      </c>
      <c r="H53" s="7" t="s">
        <v>30</v>
      </c>
    </row>
    <row r="54" spans="1:8">
      <c r="A54" s="7" t="s">
        <v>77</v>
      </c>
      <c r="B54" s="8">
        <v>45345</v>
      </c>
      <c r="C54" s="7" t="s">
        <v>3</v>
      </c>
      <c r="D54" s="7" t="s">
        <v>27</v>
      </c>
      <c r="E54" s="7">
        <v>5</v>
      </c>
      <c r="F54" s="7">
        <v>11249</v>
      </c>
      <c r="G54" s="7">
        <v>1258</v>
      </c>
      <c r="H54" s="7" t="s">
        <v>36</v>
      </c>
    </row>
    <row r="55" spans="1:8">
      <c r="A55" s="7" t="s">
        <v>78</v>
      </c>
      <c r="B55" s="8">
        <v>45345</v>
      </c>
      <c r="C55" s="7" t="s">
        <v>1</v>
      </c>
      <c r="D55" s="7" t="s">
        <v>24</v>
      </c>
      <c r="E55" s="7">
        <v>8</v>
      </c>
      <c r="F55" s="7">
        <v>76772</v>
      </c>
      <c r="G55" s="7">
        <v>38396</v>
      </c>
      <c r="H55" s="7" t="s">
        <v>19</v>
      </c>
    </row>
    <row r="56" spans="1:8">
      <c r="A56" s="7" t="s">
        <v>79</v>
      </c>
      <c r="B56" s="8">
        <v>45346</v>
      </c>
      <c r="C56" s="7" t="s">
        <v>1</v>
      </c>
      <c r="D56" s="7" t="s">
        <v>27</v>
      </c>
      <c r="E56" s="7">
        <v>8</v>
      </c>
      <c r="F56" s="7">
        <v>60733</v>
      </c>
      <c r="G56" s="7">
        <v>12329</v>
      </c>
      <c r="H56" s="7" t="s">
        <v>19</v>
      </c>
    </row>
    <row r="57" spans="1:8">
      <c r="A57" s="7" t="s">
        <v>80</v>
      </c>
      <c r="B57" s="8">
        <v>45349</v>
      </c>
      <c r="C57" s="7" t="s">
        <v>1</v>
      </c>
      <c r="D57" s="7" t="s">
        <v>16</v>
      </c>
      <c r="E57" s="7">
        <v>2</v>
      </c>
      <c r="F57" s="7">
        <v>38143</v>
      </c>
      <c r="G57" s="7">
        <v>7370</v>
      </c>
      <c r="H57" s="7" t="s">
        <v>30</v>
      </c>
    </row>
    <row r="58" spans="1:8">
      <c r="A58" s="7" t="s">
        <v>81</v>
      </c>
      <c r="B58" s="8">
        <v>45350</v>
      </c>
      <c r="C58" s="7" t="s">
        <v>3</v>
      </c>
      <c r="D58" s="7" t="s">
        <v>22</v>
      </c>
      <c r="E58" s="7">
        <v>2</v>
      </c>
      <c r="F58" s="7">
        <v>1867</v>
      </c>
      <c r="G58" s="7">
        <v>22727</v>
      </c>
      <c r="H58" s="7" t="s">
        <v>36</v>
      </c>
    </row>
    <row r="59" spans="1:8">
      <c r="A59" s="7" t="s">
        <v>82</v>
      </c>
      <c r="B59" s="8">
        <v>45351</v>
      </c>
      <c r="C59" s="7" t="s">
        <v>1</v>
      </c>
      <c r="D59" s="7" t="s">
        <v>27</v>
      </c>
      <c r="E59" s="7">
        <v>7</v>
      </c>
      <c r="F59" s="7">
        <v>23677</v>
      </c>
      <c r="G59" s="7">
        <v>8239</v>
      </c>
      <c r="H59" s="7" t="s">
        <v>30</v>
      </c>
    </row>
    <row r="60" spans="1:8">
      <c r="A60" s="7" t="s">
        <v>83</v>
      </c>
      <c r="B60" s="8">
        <v>45353</v>
      </c>
      <c r="C60" s="7" t="s">
        <v>1</v>
      </c>
      <c r="D60" s="7" t="s">
        <v>24</v>
      </c>
      <c r="E60" s="7">
        <v>6</v>
      </c>
      <c r="F60" s="7">
        <v>65608</v>
      </c>
      <c r="G60" s="7">
        <v>47850</v>
      </c>
      <c r="H60" s="7" t="s">
        <v>30</v>
      </c>
    </row>
    <row r="61" spans="1:8">
      <c r="A61" s="7" t="s">
        <v>84</v>
      </c>
      <c r="B61" s="8">
        <v>45353</v>
      </c>
      <c r="C61" s="7" t="s">
        <v>26</v>
      </c>
      <c r="D61" s="7" t="s">
        <v>22</v>
      </c>
      <c r="E61" s="7">
        <v>1</v>
      </c>
      <c r="F61" s="7">
        <v>40391</v>
      </c>
      <c r="G61" s="7">
        <v>9461</v>
      </c>
      <c r="H61" s="7" t="s">
        <v>17</v>
      </c>
    </row>
    <row r="62" spans="1:8">
      <c r="A62" s="7" t="s">
        <v>85</v>
      </c>
      <c r="B62" s="8">
        <v>45354</v>
      </c>
      <c r="C62" s="7" t="s">
        <v>1</v>
      </c>
      <c r="D62" s="7" t="s">
        <v>16</v>
      </c>
      <c r="E62" s="7">
        <v>9</v>
      </c>
      <c r="F62" s="7">
        <v>66181</v>
      </c>
      <c r="G62" s="7">
        <v>10518</v>
      </c>
      <c r="H62" s="7" t="s">
        <v>17</v>
      </c>
    </row>
    <row r="63" spans="1:8">
      <c r="A63" s="7" t="s">
        <v>86</v>
      </c>
      <c r="B63" s="8">
        <v>45354</v>
      </c>
      <c r="C63" s="7" t="s">
        <v>4</v>
      </c>
      <c r="D63" s="7" t="s">
        <v>16</v>
      </c>
      <c r="E63" s="7">
        <v>2</v>
      </c>
      <c r="F63" s="7">
        <v>4755</v>
      </c>
      <c r="G63" s="7">
        <v>3839</v>
      </c>
      <c r="H63" s="7" t="s">
        <v>30</v>
      </c>
    </row>
    <row r="64" spans="1:8">
      <c r="A64" s="7" t="s">
        <v>87</v>
      </c>
      <c r="B64" s="8">
        <v>45356</v>
      </c>
      <c r="C64" s="7" t="s">
        <v>4</v>
      </c>
      <c r="D64" s="7" t="s">
        <v>32</v>
      </c>
      <c r="E64" s="7">
        <v>3</v>
      </c>
      <c r="F64" s="7">
        <v>75888</v>
      </c>
      <c r="G64" s="7">
        <v>29854</v>
      </c>
      <c r="H64" s="7" t="s">
        <v>19</v>
      </c>
    </row>
    <row r="65" spans="1:8">
      <c r="A65" s="7" t="s">
        <v>88</v>
      </c>
      <c r="B65" s="8">
        <v>45357</v>
      </c>
      <c r="C65" s="7" t="s">
        <v>3</v>
      </c>
      <c r="D65" s="7" t="s">
        <v>16</v>
      </c>
      <c r="E65" s="7">
        <v>4</v>
      </c>
      <c r="F65" s="7">
        <v>29828</v>
      </c>
      <c r="G65" s="7">
        <v>1162</v>
      </c>
      <c r="H65" s="7" t="s">
        <v>36</v>
      </c>
    </row>
    <row r="66" spans="1:8">
      <c r="A66" s="7" t="s">
        <v>89</v>
      </c>
      <c r="B66" s="8">
        <v>45359</v>
      </c>
      <c r="C66" s="7" t="s">
        <v>2</v>
      </c>
      <c r="D66" s="7" t="s">
        <v>22</v>
      </c>
      <c r="E66" s="7">
        <v>7</v>
      </c>
      <c r="F66" s="7">
        <v>7599</v>
      </c>
      <c r="G66" s="7">
        <v>21095</v>
      </c>
      <c r="H66" s="7" t="s">
        <v>30</v>
      </c>
    </row>
    <row r="67" spans="1:8">
      <c r="A67" s="7" t="s">
        <v>90</v>
      </c>
      <c r="B67" s="8">
        <v>45363</v>
      </c>
      <c r="C67" s="7" t="s">
        <v>15</v>
      </c>
      <c r="D67" s="7" t="s">
        <v>32</v>
      </c>
      <c r="E67" s="7">
        <v>2</v>
      </c>
      <c r="F67" s="7">
        <v>36987</v>
      </c>
      <c r="G67" s="7">
        <v>20921</v>
      </c>
      <c r="H67" s="7" t="s">
        <v>19</v>
      </c>
    </row>
    <row r="68" spans="1:8">
      <c r="A68" s="7" t="s">
        <v>91</v>
      </c>
      <c r="B68" s="8">
        <v>45366</v>
      </c>
      <c r="C68" s="7" t="s">
        <v>4</v>
      </c>
      <c r="D68" s="7" t="s">
        <v>32</v>
      </c>
      <c r="E68" s="7">
        <v>4</v>
      </c>
      <c r="F68" s="7">
        <v>73430</v>
      </c>
      <c r="G68" s="7">
        <v>7629</v>
      </c>
      <c r="H68" s="7" t="s">
        <v>17</v>
      </c>
    </row>
    <row r="69" spans="1:8">
      <c r="A69" s="7" t="s">
        <v>92</v>
      </c>
      <c r="B69" s="8">
        <v>45372</v>
      </c>
      <c r="C69" s="7" t="s">
        <v>4</v>
      </c>
      <c r="D69" s="7" t="s">
        <v>22</v>
      </c>
      <c r="E69" s="7">
        <v>1</v>
      </c>
      <c r="F69" s="7">
        <v>9406</v>
      </c>
      <c r="G69" s="7">
        <v>24705</v>
      </c>
      <c r="H69" s="7" t="s">
        <v>36</v>
      </c>
    </row>
    <row r="70" spans="1:8">
      <c r="A70" s="7" t="s">
        <v>93</v>
      </c>
      <c r="B70" s="8">
        <v>45372</v>
      </c>
      <c r="C70" s="7" t="s">
        <v>1</v>
      </c>
      <c r="D70" s="7" t="s">
        <v>24</v>
      </c>
      <c r="E70" s="7">
        <v>5</v>
      </c>
      <c r="F70" s="7">
        <v>64674</v>
      </c>
      <c r="G70" s="7">
        <v>34787</v>
      </c>
      <c r="H70" s="7" t="s">
        <v>17</v>
      </c>
    </row>
    <row r="71" spans="1:8">
      <c r="A71" s="7" t="s">
        <v>94</v>
      </c>
      <c r="B71" s="8">
        <v>45372</v>
      </c>
      <c r="C71" s="7" t="s">
        <v>15</v>
      </c>
      <c r="D71" s="7" t="s">
        <v>16</v>
      </c>
      <c r="E71" s="7">
        <v>9</v>
      </c>
      <c r="F71" s="7">
        <v>64809</v>
      </c>
      <c r="G71" s="7">
        <v>10879</v>
      </c>
      <c r="H71" s="7" t="s">
        <v>36</v>
      </c>
    </row>
    <row r="72" spans="1:8">
      <c r="A72" s="7" t="s">
        <v>95</v>
      </c>
      <c r="B72" s="8">
        <v>45377</v>
      </c>
      <c r="C72" s="7" t="s">
        <v>1</v>
      </c>
      <c r="D72" s="7" t="s">
        <v>24</v>
      </c>
      <c r="E72" s="7">
        <v>4</v>
      </c>
      <c r="F72" s="7">
        <v>707</v>
      </c>
      <c r="G72" s="7">
        <v>10435</v>
      </c>
      <c r="H72" s="7" t="s">
        <v>36</v>
      </c>
    </row>
    <row r="73" spans="1:8">
      <c r="A73" s="7" t="s">
        <v>96</v>
      </c>
      <c r="B73" s="8">
        <v>45379</v>
      </c>
      <c r="C73" s="7" t="s">
        <v>4</v>
      </c>
      <c r="D73" s="7" t="s">
        <v>27</v>
      </c>
      <c r="E73" s="7">
        <v>3</v>
      </c>
      <c r="F73" s="7">
        <v>47555</v>
      </c>
      <c r="G73" s="7">
        <v>21567</v>
      </c>
      <c r="H73" s="7" t="s">
        <v>36</v>
      </c>
    </row>
    <row r="74" spans="1:8">
      <c r="A74" s="7" t="s">
        <v>97</v>
      </c>
      <c r="B74" s="8">
        <v>45380</v>
      </c>
      <c r="C74" s="7" t="s">
        <v>1</v>
      </c>
      <c r="D74" s="7" t="s">
        <v>32</v>
      </c>
      <c r="E74" s="7">
        <v>7</v>
      </c>
      <c r="F74" s="7">
        <v>54051</v>
      </c>
      <c r="G74" s="7">
        <v>20873</v>
      </c>
      <c r="H74" s="7" t="s">
        <v>19</v>
      </c>
    </row>
    <row r="75" spans="1:8">
      <c r="A75" s="7" t="s">
        <v>98</v>
      </c>
      <c r="B75" s="8">
        <v>45383</v>
      </c>
      <c r="C75" s="7" t="s">
        <v>2</v>
      </c>
      <c r="D75" s="7" t="s">
        <v>32</v>
      </c>
      <c r="E75" s="7">
        <v>5</v>
      </c>
      <c r="F75" s="7">
        <v>79214</v>
      </c>
      <c r="G75" s="7">
        <v>24762</v>
      </c>
      <c r="H75" s="7" t="s">
        <v>17</v>
      </c>
    </row>
    <row r="76" spans="1:8">
      <c r="A76" s="7" t="s">
        <v>99</v>
      </c>
      <c r="B76" s="8">
        <v>45386</v>
      </c>
      <c r="C76" s="7" t="s">
        <v>26</v>
      </c>
      <c r="D76" s="7" t="s">
        <v>22</v>
      </c>
      <c r="E76" s="7">
        <v>4</v>
      </c>
      <c r="F76" s="7">
        <v>45500</v>
      </c>
      <c r="G76" s="7">
        <v>2089</v>
      </c>
      <c r="H76" s="7" t="s">
        <v>36</v>
      </c>
    </row>
    <row r="77" spans="1:8">
      <c r="A77" s="7" t="s">
        <v>100</v>
      </c>
      <c r="B77" s="8">
        <v>45387</v>
      </c>
      <c r="C77" s="7" t="s">
        <v>26</v>
      </c>
      <c r="D77" s="7" t="s">
        <v>24</v>
      </c>
      <c r="E77" s="7">
        <v>1</v>
      </c>
      <c r="F77" s="7">
        <v>45613</v>
      </c>
      <c r="G77" s="7">
        <v>18069</v>
      </c>
      <c r="H77" s="7" t="s">
        <v>19</v>
      </c>
    </row>
    <row r="78" spans="1:8">
      <c r="A78" s="7" t="s">
        <v>101</v>
      </c>
      <c r="B78" s="8">
        <v>45387</v>
      </c>
      <c r="C78" s="7" t="s">
        <v>15</v>
      </c>
      <c r="D78" s="7" t="s">
        <v>24</v>
      </c>
      <c r="E78" s="7">
        <v>1</v>
      </c>
      <c r="F78" s="7">
        <v>74361</v>
      </c>
      <c r="G78" s="7">
        <v>19322</v>
      </c>
      <c r="H78" s="7" t="s">
        <v>17</v>
      </c>
    </row>
    <row r="79" spans="1:8">
      <c r="A79" s="7" t="s">
        <v>102</v>
      </c>
      <c r="B79" s="8">
        <v>45388</v>
      </c>
      <c r="C79" s="7" t="s">
        <v>15</v>
      </c>
      <c r="D79" s="7" t="s">
        <v>16</v>
      </c>
      <c r="E79" s="7">
        <v>2</v>
      </c>
      <c r="F79" s="7">
        <v>56177</v>
      </c>
      <c r="G79" s="7">
        <v>19708</v>
      </c>
      <c r="H79" s="7" t="s">
        <v>19</v>
      </c>
    </row>
    <row r="80" spans="1:8">
      <c r="A80" s="7" t="s">
        <v>103</v>
      </c>
      <c r="B80" s="8">
        <v>45388</v>
      </c>
      <c r="C80" s="7" t="s">
        <v>3</v>
      </c>
      <c r="D80" s="7" t="s">
        <v>27</v>
      </c>
      <c r="E80" s="7">
        <v>8</v>
      </c>
      <c r="F80" s="7">
        <v>18130</v>
      </c>
      <c r="G80" s="7">
        <v>5079</v>
      </c>
      <c r="H80" s="7" t="s">
        <v>19</v>
      </c>
    </row>
    <row r="81" spans="1:8">
      <c r="A81" s="7" t="s">
        <v>104</v>
      </c>
      <c r="B81" s="8">
        <v>45389</v>
      </c>
      <c r="C81" s="7" t="s">
        <v>1</v>
      </c>
      <c r="D81" s="7" t="s">
        <v>24</v>
      </c>
      <c r="E81" s="7">
        <v>6</v>
      </c>
      <c r="F81" s="7">
        <v>61045</v>
      </c>
      <c r="G81" s="7">
        <v>17994</v>
      </c>
      <c r="H81" s="7" t="s">
        <v>30</v>
      </c>
    </row>
    <row r="82" spans="1:8">
      <c r="A82" s="7" t="s">
        <v>105</v>
      </c>
      <c r="B82" s="8">
        <v>45390</v>
      </c>
      <c r="C82" s="7" t="s">
        <v>2</v>
      </c>
      <c r="D82" s="7" t="s">
        <v>22</v>
      </c>
      <c r="E82" s="7">
        <v>1</v>
      </c>
      <c r="F82" s="7">
        <v>56254</v>
      </c>
      <c r="G82" s="7">
        <v>43845</v>
      </c>
      <c r="H82" s="7" t="s">
        <v>17</v>
      </c>
    </row>
    <row r="83" spans="1:8">
      <c r="A83" s="7" t="s">
        <v>106</v>
      </c>
      <c r="B83" s="8">
        <v>45390</v>
      </c>
      <c r="C83" s="7" t="s">
        <v>4</v>
      </c>
      <c r="D83" s="7" t="s">
        <v>16</v>
      </c>
      <c r="E83" s="7">
        <v>7</v>
      </c>
      <c r="F83" s="7">
        <v>69752</v>
      </c>
      <c r="G83" s="7">
        <v>7852</v>
      </c>
      <c r="H83" s="7" t="s">
        <v>19</v>
      </c>
    </row>
    <row r="84" spans="1:8">
      <c r="A84" s="7" t="s">
        <v>107</v>
      </c>
      <c r="B84" s="8">
        <v>45390</v>
      </c>
      <c r="C84" s="7" t="s">
        <v>2</v>
      </c>
      <c r="D84" s="7" t="s">
        <v>32</v>
      </c>
      <c r="E84" s="7">
        <v>3</v>
      </c>
      <c r="F84" s="7">
        <v>41924</v>
      </c>
      <c r="G84" s="7">
        <v>20909</v>
      </c>
      <c r="H84" s="7" t="s">
        <v>17</v>
      </c>
    </row>
    <row r="85" spans="1:8">
      <c r="A85" s="7" t="s">
        <v>108</v>
      </c>
      <c r="B85" s="8">
        <v>45390</v>
      </c>
      <c r="C85" s="7" t="s">
        <v>15</v>
      </c>
      <c r="D85" s="7" t="s">
        <v>32</v>
      </c>
      <c r="E85" s="7">
        <v>2</v>
      </c>
      <c r="F85" s="7">
        <v>3691</v>
      </c>
      <c r="G85" s="7">
        <v>12205</v>
      </c>
      <c r="H85" s="7" t="s">
        <v>17</v>
      </c>
    </row>
    <row r="86" spans="1:8">
      <c r="A86" s="7" t="s">
        <v>109</v>
      </c>
      <c r="B86" s="8">
        <v>45390</v>
      </c>
      <c r="C86" s="7" t="s">
        <v>3</v>
      </c>
      <c r="D86" s="7" t="s">
        <v>22</v>
      </c>
      <c r="E86" s="7">
        <v>7</v>
      </c>
      <c r="F86" s="7">
        <v>70019</v>
      </c>
      <c r="G86" s="7">
        <v>7980</v>
      </c>
      <c r="H86" s="7" t="s">
        <v>30</v>
      </c>
    </row>
    <row r="87" spans="1:8">
      <c r="A87" s="7" t="s">
        <v>110</v>
      </c>
      <c r="B87" s="8">
        <v>45390</v>
      </c>
      <c r="C87" s="7" t="s">
        <v>4</v>
      </c>
      <c r="D87" s="7" t="s">
        <v>24</v>
      </c>
      <c r="E87" s="7">
        <v>5</v>
      </c>
      <c r="F87" s="7">
        <v>22668</v>
      </c>
      <c r="G87" s="7">
        <v>38346</v>
      </c>
      <c r="H87" s="7" t="s">
        <v>36</v>
      </c>
    </row>
    <row r="88" spans="1:8">
      <c r="A88" s="7" t="s">
        <v>111</v>
      </c>
      <c r="B88" s="8">
        <v>45391</v>
      </c>
      <c r="C88" s="7" t="s">
        <v>2</v>
      </c>
      <c r="D88" s="7" t="s">
        <v>24</v>
      </c>
      <c r="E88" s="7">
        <v>5</v>
      </c>
      <c r="F88" s="7">
        <v>42787</v>
      </c>
      <c r="G88" s="7">
        <v>44285</v>
      </c>
      <c r="H88" s="7" t="s">
        <v>36</v>
      </c>
    </row>
    <row r="89" spans="1:8">
      <c r="A89" s="7" t="s">
        <v>112</v>
      </c>
      <c r="B89" s="8">
        <v>45392</v>
      </c>
      <c r="C89" s="7" t="s">
        <v>4</v>
      </c>
      <c r="D89" s="7" t="s">
        <v>16</v>
      </c>
      <c r="E89" s="7">
        <v>8</v>
      </c>
      <c r="F89" s="7">
        <v>76829</v>
      </c>
      <c r="G89" s="7">
        <v>18833</v>
      </c>
      <c r="H89" s="7" t="s">
        <v>36</v>
      </c>
    </row>
    <row r="90" spans="1:8">
      <c r="A90" s="7" t="s">
        <v>113</v>
      </c>
      <c r="B90" s="8">
        <v>45392</v>
      </c>
      <c r="C90" s="7" t="s">
        <v>3</v>
      </c>
      <c r="D90" s="7" t="s">
        <v>22</v>
      </c>
      <c r="E90" s="7">
        <v>8</v>
      </c>
      <c r="F90" s="7">
        <v>6156</v>
      </c>
      <c r="G90" s="7">
        <v>34365</v>
      </c>
      <c r="H90" s="7" t="s">
        <v>36</v>
      </c>
    </row>
    <row r="91" spans="1:8">
      <c r="A91" s="7" t="s">
        <v>114</v>
      </c>
      <c r="B91" s="8">
        <v>45394</v>
      </c>
      <c r="C91" s="7" t="s">
        <v>4</v>
      </c>
      <c r="D91" s="7" t="s">
        <v>27</v>
      </c>
      <c r="E91" s="7">
        <v>3</v>
      </c>
      <c r="F91" s="7">
        <v>47914</v>
      </c>
      <c r="G91" s="7">
        <v>21714</v>
      </c>
      <c r="H91" s="7" t="s">
        <v>17</v>
      </c>
    </row>
    <row r="92" spans="1:8">
      <c r="A92" s="7" t="s">
        <v>115</v>
      </c>
      <c r="B92" s="8">
        <v>45394</v>
      </c>
      <c r="C92" s="7" t="s">
        <v>26</v>
      </c>
      <c r="D92" s="7" t="s">
        <v>27</v>
      </c>
      <c r="E92" s="7">
        <v>1</v>
      </c>
      <c r="F92" s="7">
        <v>43323</v>
      </c>
      <c r="G92" s="7">
        <v>25858</v>
      </c>
      <c r="H92" s="7" t="s">
        <v>30</v>
      </c>
    </row>
    <row r="93" spans="1:8">
      <c r="A93" s="7" t="s">
        <v>116</v>
      </c>
      <c r="B93" s="8">
        <v>45395</v>
      </c>
      <c r="C93" s="7" t="s">
        <v>2</v>
      </c>
      <c r="D93" s="7" t="s">
        <v>32</v>
      </c>
      <c r="E93" s="7">
        <v>9</v>
      </c>
      <c r="F93" s="7">
        <v>20377</v>
      </c>
      <c r="G93" s="7">
        <v>47971</v>
      </c>
      <c r="H93" s="7" t="s">
        <v>30</v>
      </c>
    </row>
    <row r="94" spans="1:8">
      <c r="A94" s="7" t="s">
        <v>117</v>
      </c>
      <c r="B94" s="8">
        <v>45397</v>
      </c>
      <c r="C94" s="7" t="s">
        <v>15</v>
      </c>
      <c r="D94" s="7" t="s">
        <v>22</v>
      </c>
      <c r="E94" s="7">
        <v>1</v>
      </c>
      <c r="F94" s="7">
        <v>50615</v>
      </c>
      <c r="G94" s="7">
        <v>39659</v>
      </c>
      <c r="H94" s="7" t="s">
        <v>36</v>
      </c>
    </row>
    <row r="95" spans="1:8">
      <c r="A95" s="7" t="s">
        <v>118</v>
      </c>
      <c r="B95" s="8">
        <v>45398</v>
      </c>
      <c r="C95" s="7" t="s">
        <v>4</v>
      </c>
      <c r="D95" s="7" t="s">
        <v>32</v>
      </c>
      <c r="E95" s="7">
        <v>6</v>
      </c>
      <c r="F95" s="7">
        <v>24589</v>
      </c>
      <c r="G95" s="7">
        <v>49908</v>
      </c>
      <c r="H95" s="7" t="s">
        <v>30</v>
      </c>
    </row>
    <row r="96" spans="1:8">
      <c r="A96" s="7" t="s">
        <v>119</v>
      </c>
      <c r="B96" s="8">
        <v>45399</v>
      </c>
      <c r="C96" s="7" t="s">
        <v>15</v>
      </c>
      <c r="D96" s="7" t="s">
        <v>24</v>
      </c>
      <c r="E96" s="7">
        <v>2</v>
      </c>
      <c r="F96" s="7">
        <v>29801</v>
      </c>
      <c r="G96" s="7">
        <v>10833</v>
      </c>
      <c r="H96" s="7" t="s">
        <v>36</v>
      </c>
    </row>
    <row r="97" spans="1:8">
      <c r="A97" s="7" t="s">
        <v>120</v>
      </c>
      <c r="B97" s="8">
        <v>45403</v>
      </c>
      <c r="C97" s="7" t="s">
        <v>1</v>
      </c>
      <c r="D97" s="7" t="s">
        <v>16</v>
      </c>
      <c r="E97" s="7">
        <v>4</v>
      </c>
      <c r="F97" s="7">
        <v>7048</v>
      </c>
      <c r="G97" s="7">
        <v>22800</v>
      </c>
      <c r="H97" s="7" t="s">
        <v>36</v>
      </c>
    </row>
    <row r="98" spans="1:8">
      <c r="A98" s="7" t="s">
        <v>121</v>
      </c>
      <c r="B98" s="8">
        <v>45403</v>
      </c>
      <c r="C98" s="7" t="s">
        <v>15</v>
      </c>
      <c r="D98" s="7" t="s">
        <v>27</v>
      </c>
      <c r="E98" s="7">
        <v>4</v>
      </c>
      <c r="F98" s="7">
        <v>31411</v>
      </c>
      <c r="G98" s="7">
        <v>3307</v>
      </c>
      <c r="H98" s="7" t="s">
        <v>17</v>
      </c>
    </row>
    <row r="99" spans="1:8">
      <c r="A99" s="7" t="s">
        <v>122</v>
      </c>
      <c r="B99" s="8">
        <v>45404</v>
      </c>
      <c r="C99" s="7" t="s">
        <v>2</v>
      </c>
      <c r="D99" s="7" t="s">
        <v>32</v>
      </c>
      <c r="E99" s="7">
        <v>8</v>
      </c>
      <c r="F99" s="7">
        <v>74300</v>
      </c>
      <c r="G99" s="7">
        <v>17376</v>
      </c>
      <c r="H99" s="7" t="s">
        <v>17</v>
      </c>
    </row>
    <row r="100" spans="1:8">
      <c r="A100" s="7" t="s">
        <v>123</v>
      </c>
      <c r="B100" s="8">
        <v>45404</v>
      </c>
      <c r="C100" s="7" t="s">
        <v>2</v>
      </c>
      <c r="D100" s="7" t="s">
        <v>24</v>
      </c>
      <c r="E100" s="7">
        <v>5</v>
      </c>
      <c r="F100" s="7">
        <v>49395</v>
      </c>
      <c r="G100" s="7">
        <v>16352</v>
      </c>
      <c r="H100" s="7" t="s">
        <v>19</v>
      </c>
    </row>
    <row r="101" spans="1:8">
      <c r="A101" s="7" t="s">
        <v>124</v>
      </c>
      <c r="B101" s="8">
        <v>45404</v>
      </c>
      <c r="C101" s="7" t="s">
        <v>26</v>
      </c>
      <c r="D101" s="7" t="s">
        <v>32</v>
      </c>
      <c r="E101" s="7">
        <v>3</v>
      </c>
      <c r="F101" s="7">
        <v>75020</v>
      </c>
      <c r="G101" s="7">
        <v>20446</v>
      </c>
      <c r="H101" s="7" t="s">
        <v>30</v>
      </c>
    </row>
    <row r="102" spans="1:8">
      <c r="A102" s="7" t="s">
        <v>125</v>
      </c>
      <c r="B102" s="8">
        <v>45404</v>
      </c>
      <c r="C102" s="7" t="s">
        <v>1</v>
      </c>
      <c r="D102" s="7" t="s">
        <v>24</v>
      </c>
      <c r="E102" s="7">
        <v>1</v>
      </c>
      <c r="F102" s="7">
        <v>74322</v>
      </c>
      <c r="G102" s="7">
        <v>34340</v>
      </c>
      <c r="H102" s="7" t="s">
        <v>17</v>
      </c>
    </row>
    <row r="103" spans="1:8">
      <c r="A103" s="7" t="s">
        <v>126</v>
      </c>
      <c r="B103" s="8">
        <v>45404</v>
      </c>
      <c r="C103" s="7" t="s">
        <v>4</v>
      </c>
      <c r="D103" s="7" t="s">
        <v>22</v>
      </c>
      <c r="E103" s="7">
        <v>8</v>
      </c>
      <c r="F103" s="7">
        <v>14556</v>
      </c>
      <c r="G103" s="7">
        <v>44936</v>
      </c>
      <c r="H103" s="7" t="s">
        <v>30</v>
      </c>
    </row>
    <row r="104" spans="1:8">
      <c r="A104" s="7" t="s">
        <v>127</v>
      </c>
      <c r="B104" s="8">
        <v>45405</v>
      </c>
      <c r="C104" s="7" t="s">
        <v>4</v>
      </c>
      <c r="D104" s="7" t="s">
        <v>24</v>
      </c>
      <c r="E104" s="7">
        <v>6</v>
      </c>
      <c r="F104" s="7">
        <v>16497</v>
      </c>
      <c r="G104" s="7">
        <v>49781</v>
      </c>
      <c r="H104" s="7" t="s">
        <v>19</v>
      </c>
    </row>
    <row r="105" spans="1:8">
      <c r="A105" s="7" t="s">
        <v>128</v>
      </c>
      <c r="B105" s="8">
        <v>45407</v>
      </c>
      <c r="C105" s="7" t="s">
        <v>1</v>
      </c>
      <c r="D105" s="7" t="s">
        <v>27</v>
      </c>
      <c r="E105" s="7">
        <v>7</v>
      </c>
      <c r="F105" s="7">
        <v>55614</v>
      </c>
      <c r="G105" s="7">
        <v>32358</v>
      </c>
      <c r="H105" s="7" t="s">
        <v>19</v>
      </c>
    </row>
    <row r="106" spans="1:8">
      <c r="A106" s="7" t="s">
        <v>129</v>
      </c>
      <c r="B106" s="8">
        <v>45407</v>
      </c>
      <c r="C106" s="7" t="s">
        <v>15</v>
      </c>
      <c r="D106" s="7" t="s">
        <v>24</v>
      </c>
      <c r="E106" s="7">
        <v>4</v>
      </c>
      <c r="F106" s="7">
        <v>21723</v>
      </c>
      <c r="G106" s="7">
        <v>5135</v>
      </c>
      <c r="H106" s="7" t="s">
        <v>36</v>
      </c>
    </row>
    <row r="107" spans="1:8">
      <c r="A107" s="7" t="s">
        <v>130</v>
      </c>
      <c r="B107" s="8">
        <v>45407</v>
      </c>
      <c r="C107" s="7" t="s">
        <v>3</v>
      </c>
      <c r="D107" s="7" t="s">
        <v>32</v>
      </c>
      <c r="E107" s="7">
        <v>2</v>
      </c>
      <c r="F107" s="7">
        <v>54593</v>
      </c>
      <c r="G107" s="7">
        <v>1155</v>
      </c>
      <c r="H107" s="7" t="s">
        <v>19</v>
      </c>
    </row>
    <row r="108" spans="1:8">
      <c r="A108" s="7" t="s">
        <v>131</v>
      </c>
      <c r="B108" s="8">
        <v>45411</v>
      </c>
      <c r="C108" s="7" t="s">
        <v>4</v>
      </c>
      <c r="D108" s="7" t="s">
        <v>24</v>
      </c>
      <c r="E108" s="7">
        <v>8</v>
      </c>
      <c r="F108" s="7">
        <v>25621</v>
      </c>
      <c r="G108" s="7">
        <v>1282</v>
      </c>
      <c r="H108" s="7" t="s">
        <v>36</v>
      </c>
    </row>
    <row r="109" spans="1:8">
      <c r="A109" s="7" t="s">
        <v>132</v>
      </c>
      <c r="B109" s="8">
        <v>45412</v>
      </c>
      <c r="C109" s="7" t="s">
        <v>2</v>
      </c>
      <c r="D109" s="7" t="s">
        <v>22</v>
      </c>
      <c r="E109" s="7">
        <v>7</v>
      </c>
      <c r="F109" s="7">
        <v>48364</v>
      </c>
      <c r="G109" s="7">
        <v>33262</v>
      </c>
      <c r="H109" s="7" t="s">
        <v>19</v>
      </c>
    </row>
    <row r="110" spans="1:8">
      <c r="A110" s="7" t="s">
        <v>133</v>
      </c>
      <c r="B110" s="8">
        <v>45413</v>
      </c>
      <c r="C110" s="7" t="s">
        <v>3</v>
      </c>
      <c r="D110" s="7" t="s">
        <v>27</v>
      </c>
      <c r="E110" s="7">
        <v>1</v>
      </c>
      <c r="F110" s="7">
        <v>37708</v>
      </c>
      <c r="G110" s="7">
        <v>49689</v>
      </c>
      <c r="H110" s="7" t="s">
        <v>30</v>
      </c>
    </row>
    <row r="111" spans="1:8">
      <c r="A111" s="7" t="s">
        <v>134</v>
      </c>
      <c r="B111" s="8">
        <v>45414</v>
      </c>
      <c r="C111" s="7" t="s">
        <v>1</v>
      </c>
      <c r="D111" s="7" t="s">
        <v>27</v>
      </c>
      <c r="E111" s="7">
        <v>6</v>
      </c>
      <c r="F111" s="7">
        <v>28679</v>
      </c>
      <c r="G111" s="7">
        <v>4750</v>
      </c>
      <c r="H111" s="7" t="s">
        <v>17</v>
      </c>
    </row>
    <row r="112" spans="1:8">
      <c r="A112" s="7" t="s">
        <v>135</v>
      </c>
      <c r="B112" s="8">
        <v>45415</v>
      </c>
      <c r="C112" s="7" t="s">
        <v>2</v>
      </c>
      <c r="D112" s="7" t="s">
        <v>32</v>
      </c>
      <c r="E112" s="7">
        <v>1</v>
      </c>
      <c r="F112" s="7">
        <v>46832</v>
      </c>
      <c r="G112" s="7">
        <v>10369</v>
      </c>
      <c r="H112" s="7" t="s">
        <v>36</v>
      </c>
    </row>
    <row r="113" spans="1:8">
      <c r="A113" s="7" t="s">
        <v>136</v>
      </c>
      <c r="B113" s="8">
        <v>45417</v>
      </c>
      <c r="C113" s="7" t="s">
        <v>3</v>
      </c>
      <c r="D113" s="7" t="s">
        <v>32</v>
      </c>
      <c r="E113" s="7">
        <v>8</v>
      </c>
      <c r="F113" s="7">
        <v>50700</v>
      </c>
      <c r="G113" s="7">
        <v>44617</v>
      </c>
      <c r="H113" s="7" t="s">
        <v>17</v>
      </c>
    </row>
    <row r="114" spans="1:8">
      <c r="A114" s="7" t="s">
        <v>137</v>
      </c>
      <c r="B114" s="8">
        <v>45419</v>
      </c>
      <c r="C114" s="7" t="s">
        <v>1</v>
      </c>
      <c r="D114" s="7" t="s">
        <v>24</v>
      </c>
      <c r="E114" s="7">
        <v>1</v>
      </c>
      <c r="F114" s="7">
        <v>5395</v>
      </c>
      <c r="G114" s="7">
        <v>31314</v>
      </c>
      <c r="H114" s="7" t="s">
        <v>36</v>
      </c>
    </row>
    <row r="115" spans="1:8">
      <c r="A115" s="7" t="s">
        <v>138</v>
      </c>
      <c r="B115" s="8">
        <v>45419</v>
      </c>
      <c r="C115" s="7" t="s">
        <v>3</v>
      </c>
      <c r="D115" s="7" t="s">
        <v>22</v>
      </c>
      <c r="E115" s="7">
        <v>2</v>
      </c>
      <c r="F115" s="7">
        <v>69328</v>
      </c>
      <c r="G115" s="7">
        <v>14565</v>
      </c>
      <c r="H115" s="7" t="s">
        <v>36</v>
      </c>
    </row>
    <row r="116" spans="1:8">
      <c r="A116" s="7" t="s">
        <v>139</v>
      </c>
      <c r="B116" s="8">
        <v>45419</v>
      </c>
      <c r="C116" s="7" t="s">
        <v>2</v>
      </c>
      <c r="D116" s="7" t="s">
        <v>22</v>
      </c>
      <c r="E116" s="7">
        <v>4</v>
      </c>
      <c r="F116" s="7">
        <v>36724</v>
      </c>
      <c r="G116" s="7">
        <v>16036</v>
      </c>
      <c r="H116" s="7" t="s">
        <v>17</v>
      </c>
    </row>
    <row r="117" spans="1:8">
      <c r="A117" s="7" t="s">
        <v>140</v>
      </c>
      <c r="B117" s="8">
        <v>45419</v>
      </c>
      <c r="C117" s="7" t="s">
        <v>1</v>
      </c>
      <c r="D117" s="7" t="s">
        <v>27</v>
      </c>
      <c r="E117" s="7">
        <v>4</v>
      </c>
      <c r="F117" s="7">
        <v>65446</v>
      </c>
      <c r="G117" s="7">
        <v>26215</v>
      </c>
      <c r="H117" s="7" t="s">
        <v>36</v>
      </c>
    </row>
    <row r="118" spans="1:8">
      <c r="A118" s="7" t="s">
        <v>141</v>
      </c>
      <c r="B118" s="8">
        <v>45420</v>
      </c>
      <c r="C118" s="7" t="s">
        <v>2</v>
      </c>
      <c r="D118" s="7" t="s">
        <v>32</v>
      </c>
      <c r="E118" s="7">
        <v>3</v>
      </c>
      <c r="F118" s="7">
        <v>36951</v>
      </c>
      <c r="G118" s="7">
        <v>2651</v>
      </c>
      <c r="H118" s="7" t="s">
        <v>17</v>
      </c>
    </row>
    <row r="119" spans="1:8">
      <c r="A119" s="7" t="s">
        <v>142</v>
      </c>
      <c r="B119" s="8">
        <v>45420</v>
      </c>
      <c r="C119" s="7" t="s">
        <v>3</v>
      </c>
      <c r="D119" s="7" t="s">
        <v>27</v>
      </c>
      <c r="E119" s="7">
        <v>4</v>
      </c>
      <c r="F119" s="7">
        <v>42968</v>
      </c>
      <c r="G119" s="7">
        <v>24648</v>
      </c>
      <c r="H119" s="7" t="s">
        <v>17</v>
      </c>
    </row>
    <row r="120" spans="1:8">
      <c r="A120" s="7" t="s">
        <v>143</v>
      </c>
      <c r="B120" s="8">
        <v>45421</v>
      </c>
      <c r="C120" s="7" t="s">
        <v>15</v>
      </c>
      <c r="D120" s="7" t="s">
        <v>24</v>
      </c>
      <c r="E120" s="7">
        <v>4</v>
      </c>
      <c r="F120" s="7">
        <v>32052</v>
      </c>
      <c r="G120" s="7">
        <v>7171</v>
      </c>
      <c r="H120" s="7" t="s">
        <v>30</v>
      </c>
    </row>
    <row r="121" spans="1:8">
      <c r="A121" s="7" t="s">
        <v>144</v>
      </c>
      <c r="B121" s="8">
        <v>45421</v>
      </c>
      <c r="C121" s="7" t="s">
        <v>26</v>
      </c>
      <c r="D121" s="7" t="s">
        <v>16</v>
      </c>
      <c r="E121" s="7">
        <v>8</v>
      </c>
      <c r="F121" s="7">
        <v>71808</v>
      </c>
      <c r="G121" s="7">
        <v>4648</v>
      </c>
      <c r="H121" s="7" t="s">
        <v>36</v>
      </c>
    </row>
    <row r="122" spans="1:8">
      <c r="A122" s="7" t="s">
        <v>145</v>
      </c>
      <c r="B122" s="8">
        <v>45422</v>
      </c>
      <c r="C122" s="7" t="s">
        <v>15</v>
      </c>
      <c r="D122" s="7" t="s">
        <v>32</v>
      </c>
      <c r="E122" s="7">
        <v>5</v>
      </c>
      <c r="F122" s="7">
        <v>8625</v>
      </c>
      <c r="G122" s="7">
        <v>2724</v>
      </c>
      <c r="H122" s="7" t="s">
        <v>17</v>
      </c>
    </row>
    <row r="123" spans="1:8">
      <c r="A123" s="7" t="s">
        <v>146</v>
      </c>
      <c r="B123" s="8">
        <v>45422</v>
      </c>
      <c r="C123" s="7" t="s">
        <v>1</v>
      </c>
      <c r="D123" s="7" t="s">
        <v>27</v>
      </c>
      <c r="E123" s="7">
        <v>7</v>
      </c>
      <c r="F123" s="7">
        <v>23112</v>
      </c>
      <c r="G123" s="7">
        <v>38900</v>
      </c>
      <c r="H123" s="7" t="s">
        <v>30</v>
      </c>
    </row>
    <row r="124" spans="1:8">
      <c r="A124" s="7" t="s">
        <v>147</v>
      </c>
      <c r="B124" s="8">
        <v>45422</v>
      </c>
      <c r="C124" s="7" t="s">
        <v>4</v>
      </c>
      <c r="D124" s="7" t="s">
        <v>27</v>
      </c>
      <c r="E124" s="7">
        <v>8</v>
      </c>
      <c r="F124" s="7">
        <v>54753</v>
      </c>
      <c r="G124" s="7">
        <v>17370</v>
      </c>
      <c r="H124" s="7" t="s">
        <v>30</v>
      </c>
    </row>
    <row r="125" spans="1:8">
      <c r="A125" s="7" t="s">
        <v>148</v>
      </c>
      <c r="B125" s="8">
        <v>45422</v>
      </c>
      <c r="C125" s="7" t="s">
        <v>3</v>
      </c>
      <c r="D125" s="7" t="s">
        <v>22</v>
      </c>
      <c r="E125" s="7">
        <v>1</v>
      </c>
      <c r="F125" s="7">
        <v>5298</v>
      </c>
      <c r="G125" s="7">
        <v>38711</v>
      </c>
      <c r="H125" s="7" t="s">
        <v>19</v>
      </c>
    </row>
    <row r="126" spans="1:8">
      <c r="A126" s="7" t="s">
        <v>149</v>
      </c>
      <c r="B126" s="8">
        <v>45425</v>
      </c>
      <c r="C126" s="7" t="s">
        <v>1</v>
      </c>
      <c r="D126" s="7" t="s">
        <v>27</v>
      </c>
      <c r="E126" s="7">
        <v>1</v>
      </c>
      <c r="F126" s="7">
        <v>73482</v>
      </c>
      <c r="G126" s="7">
        <v>33591</v>
      </c>
      <c r="H126" s="7" t="s">
        <v>17</v>
      </c>
    </row>
    <row r="127" spans="1:8">
      <c r="A127" s="7" t="s">
        <v>150</v>
      </c>
      <c r="B127" s="8">
        <v>45426</v>
      </c>
      <c r="C127" s="7" t="s">
        <v>1</v>
      </c>
      <c r="D127" s="7" t="s">
        <v>22</v>
      </c>
      <c r="E127" s="7">
        <v>4</v>
      </c>
      <c r="F127" s="7">
        <v>31848</v>
      </c>
      <c r="G127" s="7">
        <v>44241</v>
      </c>
      <c r="H127" s="7" t="s">
        <v>30</v>
      </c>
    </row>
    <row r="128" spans="1:8">
      <c r="A128" s="7" t="s">
        <v>151</v>
      </c>
      <c r="B128" s="8">
        <v>45426</v>
      </c>
      <c r="C128" s="7" t="s">
        <v>26</v>
      </c>
      <c r="D128" s="7" t="s">
        <v>16</v>
      </c>
      <c r="E128" s="7">
        <v>9</v>
      </c>
      <c r="F128" s="7">
        <v>24211</v>
      </c>
      <c r="G128" s="7">
        <v>49998</v>
      </c>
      <c r="H128" s="7" t="s">
        <v>19</v>
      </c>
    </row>
    <row r="129" spans="1:8">
      <c r="A129" s="7" t="s">
        <v>152</v>
      </c>
      <c r="B129" s="8">
        <v>45426</v>
      </c>
      <c r="C129" s="7" t="s">
        <v>2</v>
      </c>
      <c r="D129" s="7" t="s">
        <v>27</v>
      </c>
      <c r="E129" s="7">
        <v>8</v>
      </c>
      <c r="F129" s="7">
        <v>70976</v>
      </c>
      <c r="G129" s="7">
        <v>25217</v>
      </c>
      <c r="H129" s="7" t="s">
        <v>30</v>
      </c>
    </row>
    <row r="130" spans="1:8">
      <c r="A130" s="7" t="s">
        <v>153</v>
      </c>
      <c r="B130" s="8">
        <v>45427</v>
      </c>
      <c r="C130" s="7" t="s">
        <v>4</v>
      </c>
      <c r="D130" s="7" t="s">
        <v>27</v>
      </c>
      <c r="E130" s="7">
        <v>6</v>
      </c>
      <c r="F130" s="7">
        <v>32410</v>
      </c>
      <c r="G130" s="7">
        <v>26051</v>
      </c>
      <c r="H130" s="7" t="s">
        <v>30</v>
      </c>
    </row>
    <row r="131" spans="1:8">
      <c r="A131" s="7" t="s">
        <v>154</v>
      </c>
      <c r="B131" s="8">
        <v>45428</v>
      </c>
      <c r="C131" s="7" t="s">
        <v>4</v>
      </c>
      <c r="D131" s="7" t="s">
        <v>32</v>
      </c>
      <c r="E131" s="7">
        <v>5</v>
      </c>
      <c r="F131" s="7">
        <v>4937</v>
      </c>
      <c r="G131" s="7">
        <v>12929</v>
      </c>
      <c r="H131" s="7" t="s">
        <v>30</v>
      </c>
    </row>
    <row r="132" spans="1:8">
      <c r="A132" s="7" t="s">
        <v>155</v>
      </c>
      <c r="B132" s="8">
        <v>45430</v>
      </c>
      <c r="C132" s="7" t="s">
        <v>26</v>
      </c>
      <c r="D132" s="7" t="s">
        <v>22</v>
      </c>
      <c r="E132" s="7">
        <v>9</v>
      </c>
      <c r="F132" s="7">
        <v>65981</v>
      </c>
      <c r="G132" s="7">
        <v>47026</v>
      </c>
      <c r="H132" s="7" t="s">
        <v>17</v>
      </c>
    </row>
    <row r="133" spans="1:8">
      <c r="A133" s="7" t="s">
        <v>156</v>
      </c>
      <c r="B133" s="8">
        <v>45431</v>
      </c>
      <c r="C133" s="7" t="s">
        <v>3</v>
      </c>
      <c r="D133" s="7" t="s">
        <v>16</v>
      </c>
      <c r="E133" s="7">
        <v>2</v>
      </c>
      <c r="F133" s="7">
        <v>57032</v>
      </c>
      <c r="G133" s="7">
        <v>3285</v>
      </c>
      <c r="H133" s="7" t="s">
        <v>36</v>
      </c>
    </row>
    <row r="134" spans="1:8">
      <c r="A134" s="7" t="s">
        <v>157</v>
      </c>
      <c r="B134" s="8">
        <v>45434</v>
      </c>
      <c r="C134" s="7" t="s">
        <v>15</v>
      </c>
      <c r="D134" s="7" t="s">
        <v>24</v>
      </c>
      <c r="E134" s="7">
        <v>6</v>
      </c>
      <c r="F134" s="7">
        <v>1161</v>
      </c>
      <c r="G134" s="7">
        <v>14975</v>
      </c>
      <c r="H134" s="7" t="s">
        <v>36</v>
      </c>
    </row>
    <row r="135" spans="1:8">
      <c r="A135" s="7" t="s">
        <v>158</v>
      </c>
      <c r="B135" s="8">
        <v>45435</v>
      </c>
      <c r="C135" s="7" t="s">
        <v>15</v>
      </c>
      <c r="D135" s="7" t="s">
        <v>24</v>
      </c>
      <c r="E135" s="7">
        <v>1</v>
      </c>
      <c r="F135" s="7">
        <v>43413</v>
      </c>
      <c r="G135" s="7">
        <v>44039</v>
      </c>
      <c r="H135" s="7" t="s">
        <v>30</v>
      </c>
    </row>
    <row r="136" spans="1:8">
      <c r="A136" s="7" t="s">
        <v>159</v>
      </c>
      <c r="B136" s="8">
        <v>45435</v>
      </c>
      <c r="C136" s="7" t="s">
        <v>4</v>
      </c>
      <c r="D136" s="7" t="s">
        <v>24</v>
      </c>
      <c r="E136" s="7">
        <v>3</v>
      </c>
      <c r="F136" s="7">
        <v>70517</v>
      </c>
      <c r="G136" s="7">
        <v>7411</v>
      </c>
      <c r="H136" s="7" t="s">
        <v>19</v>
      </c>
    </row>
    <row r="137" spans="1:8">
      <c r="A137" s="7" t="s">
        <v>160</v>
      </c>
      <c r="B137" s="8">
        <v>45438</v>
      </c>
      <c r="C137" s="7" t="s">
        <v>1</v>
      </c>
      <c r="D137" s="7" t="s">
        <v>16</v>
      </c>
      <c r="E137" s="7">
        <v>8</v>
      </c>
      <c r="F137" s="7">
        <v>42068</v>
      </c>
      <c r="G137" s="7">
        <v>28624</v>
      </c>
      <c r="H137" s="7" t="s">
        <v>17</v>
      </c>
    </row>
    <row r="138" spans="1:8">
      <c r="A138" s="7" t="s">
        <v>161</v>
      </c>
      <c r="B138" s="8">
        <v>45438</v>
      </c>
      <c r="C138" s="7" t="s">
        <v>1</v>
      </c>
      <c r="D138" s="7" t="s">
        <v>24</v>
      </c>
      <c r="E138" s="7">
        <v>3</v>
      </c>
      <c r="F138" s="7">
        <v>54244</v>
      </c>
      <c r="G138" s="7">
        <v>12531</v>
      </c>
      <c r="H138" s="7" t="s">
        <v>30</v>
      </c>
    </row>
    <row r="139" spans="1:8">
      <c r="A139" s="7" t="s">
        <v>162</v>
      </c>
      <c r="B139" s="8">
        <v>45438</v>
      </c>
      <c r="C139" s="7" t="s">
        <v>1</v>
      </c>
      <c r="D139" s="7" t="s">
        <v>16</v>
      </c>
      <c r="E139" s="7">
        <v>5</v>
      </c>
      <c r="F139" s="7">
        <v>43100</v>
      </c>
      <c r="G139" s="7">
        <v>44553</v>
      </c>
      <c r="H139" s="7" t="s">
        <v>17</v>
      </c>
    </row>
    <row r="140" spans="1:8">
      <c r="A140" s="7" t="s">
        <v>163</v>
      </c>
      <c r="B140" s="8">
        <v>45439</v>
      </c>
      <c r="C140" s="7" t="s">
        <v>2</v>
      </c>
      <c r="D140" s="7" t="s">
        <v>16</v>
      </c>
      <c r="E140" s="7">
        <v>2</v>
      </c>
      <c r="F140" s="7">
        <v>62088</v>
      </c>
      <c r="G140" s="7">
        <v>7519</v>
      </c>
      <c r="H140" s="7" t="s">
        <v>36</v>
      </c>
    </row>
    <row r="141" spans="1:8">
      <c r="A141" s="7" t="s">
        <v>164</v>
      </c>
      <c r="B141" s="8">
        <v>45439</v>
      </c>
      <c r="C141" s="7" t="s">
        <v>26</v>
      </c>
      <c r="D141" s="7" t="s">
        <v>24</v>
      </c>
      <c r="E141" s="7">
        <v>3</v>
      </c>
      <c r="F141" s="7">
        <v>47351</v>
      </c>
      <c r="G141" s="7">
        <v>7823</v>
      </c>
      <c r="H141" s="7" t="s">
        <v>30</v>
      </c>
    </row>
    <row r="142" spans="1:8">
      <c r="A142" s="7" t="s">
        <v>165</v>
      </c>
      <c r="B142" s="8">
        <v>45441</v>
      </c>
      <c r="C142" s="7" t="s">
        <v>1</v>
      </c>
      <c r="D142" s="7" t="s">
        <v>22</v>
      </c>
      <c r="E142" s="7">
        <v>6</v>
      </c>
      <c r="F142" s="7">
        <v>36559</v>
      </c>
      <c r="G142" s="7">
        <v>2376</v>
      </c>
      <c r="H142" s="7" t="s">
        <v>36</v>
      </c>
    </row>
    <row r="143" spans="1:8">
      <c r="A143" s="7" t="s">
        <v>166</v>
      </c>
      <c r="B143" s="8">
        <v>45442</v>
      </c>
      <c r="C143" s="7" t="s">
        <v>3</v>
      </c>
      <c r="D143" s="7" t="s">
        <v>22</v>
      </c>
      <c r="E143" s="7">
        <v>3</v>
      </c>
      <c r="F143" s="7">
        <v>28105</v>
      </c>
      <c r="G143" s="7">
        <v>24128</v>
      </c>
      <c r="H143" s="7" t="s">
        <v>30</v>
      </c>
    </row>
    <row r="144" spans="1:8">
      <c r="A144" s="7" t="s">
        <v>167</v>
      </c>
      <c r="B144" s="8">
        <v>45442</v>
      </c>
      <c r="C144" s="7" t="s">
        <v>26</v>
      </c>
      <c r="D144" s="7" t="s">
        <v>27</v>
      </c>
      <c r="E144" s="7">
        <v>1</v>
      </c>
      <c r="F144" s="7">
        <v>58441</v>
      </c>
      <c r="G144" s="7">
        <v>45898</v>
      </c>
      <c r="H144" s="7" t="s">
        <v>17</v>
      </c>
    </row>
    <row r="145" spans="1:8">
      <c r="A145" s="7" t="s">
        <v>168</v>
      </c>
      <c r="B145" s="8">
        <v>45443</v>
      </c>
      <c r="C145" s="7" t="s">
        <v>4</v>
      </c>
      <c r="D145" s="7" t="s">
        <v>22</v>
      </c>
      <c r="E145" s="7">
        <v>7</v>
      </c>
      <c r="F145" s="7">
        <v>27484</v>
      </c>
      <c r="G145" s="7">
        <v>28044</v>
      </c>
      <c r="H145" s="7" t="s">
        <v>19</v>
      </c>
    </row>
    <row r="146" spans="1:8">
      <c r="A146" s="7" t="s">
        <v>169</v>
      </c>
      <c r="B146" s="8">
        <v>45443</v>
      </c>
      <c r="C146" s="7" t="s">
        <v>1</v>
      </c>
      <c r="D146" s="7" t="s">
        <v>27</v>
      </c>
      <c r="E146" s="7">
        <v>3</v>
      </c>
      <c r="F146" s="7">
        <v>77457</v>
      </c>
      <c r="G146" s="7">
        <v>19745</v>
      </c>
      <c r="H146" s="7" t="s">
        <v>19</v>
      </c>
    </row>
    <row r="147" spans="1:8">
      <c r="A147" s="7" t="s">
        <v>170</v>
      </c>
      <c r="B147" s="8">
        <v>45443</v>
      </c>
      <c r="C147" s="7" t="s">
        <v>2</v>
      </c>
      <c r="D147" s="7" t="s">
        <v>24</v>
      </c>
      <c r="E147" s="7">
        <v>1</v>
      </c>
      <c r="F147" s="7">
        <v>29800</v>
      </c>
      <c r="G147" s="7">
        <v>12116</v>
      </c>
      <c r="H147" s="7" t="s">
        <v>36</v>
      </c>
    </row>
    <row r="148" spans="1:8">
      <c r="A148" s="7" t="s">
        <v>171</v>
      </c>
      <c r="B148" s="8">
        <v>45444</v>
      </c>
      <c r="C148" s="7" t="s">
        <v>26</v>
      </c>
      <c r="D148" s="7" t="s">
        <v>24</v>
      </c>
      <c r="E148" s="7">
        <v>4</v>
      </c>
      <c r="F148" s="7">
        <v>33660</v>
      </c>
      <c r="G148" s="7">
        <v>6906</v>
      </c>
      <c r="H148" s="7" t="s">
        <v>17</v>
      </c>
    </row>
    <row r="149" spans="1:8">
      <c r="A149" s="7" t="s">
        <v>172</v>
      </c>
      <c r="B149" s="8">
        <v>45448</v>
      </c>
      <c r="C149" s="7" t="s">
        <v>4</v>
      </c>
      <c r="D149" s="7" t="s">
        <v>16</v>
      </c>
      <c r="E149" s="7">
        <v>3</v>
      </c>
      <c r="F149" s="7">
        <v>52749</v>
      </c>
      <c r="G149" s="7">
        <v>17044</v>
      </c>
      <c r="H149" s="7" t="s">
        <v>19</v>
      </c>
    </row>
    <row r="150" spans="1:8">
      <c r="A150" s="7" t="s">
        <v>173</v>
      </c>
      <c r="B150" s="8">
        <v>45449</v>
      </c>
      <c r="C150" s="7" t="s">
        <v>26</v>
      </c>
      <c r="D150" s="7" t="s">
        <v>16</v>
      </c>
      <c r="E150" s="7">
        <v>5</v>
      </c>
      <c r="F150" s="7">
        <v>64527</v>
      </c>
      <c r="G150" s="7">
        <v>22953</v>
      </c>
      <c r="H150" s="7" t="s">
        <v>19</v>
      </c>
    </row>
    <row r="151" spans="1:8">
      <c r="A151" s="7" t="s">
        <v>174</v>
      </c>
      <c r="B151" s="8">
        <v>45449</v>
      </c>
      <c r="C151" s="7" t="s">
        <v>2</v>
      </c>
      <c r="D151" s="7" t="s">
        <v>16</v>
      </c>
      <c r="E151" s="7">
        <v>2</v>
      </c>
      <c r="F151" s="7">
        <v>25727</v>
      </c>
      <c r="G151" s="7">
        <v>19710</v>
      </c>
      <c r="H151" s="7" t="s">
        <v>30</v>
      </c>
    </row>
    <row r="152" spans="1:8">
      <c r="A152" s="7" t="s">
        <v>175</v>
      </c>
      <c r="B152" s="8">
        <v>45451</v>
      </c>
      <c r="C152" s="7" t="s">
        <v>3</v>
      </c>
      <c r="D152" s="7" t="s">
        <v>24</v>
      </c>
      <c r="E152" s="7">
        <v>5</v>
      </c>
      <c r="F152" s="7">
        <v>11026</v>
      </c>
      <c r="G152" s="7">
        <v>10067</v>
      </c>
      <c r="H152" s="7" t="s">
        <v>17</v>
      </c>
    </row>
    <row r="153" spans="1:8">
      <c r="A153" s="7" t="s">
        <v>176</v>
      </c>
      <c r="B153" s="8">
        <v>45451</v>
      </c>
      <c r="C153" s="7" t="s">
        <v>1</v>
      </c>
      <c r="D153" s="7" t="s">
        <v>32</v>
      </c>
      <c r="E153" s="7">
        <v>3</v>
      </c>
      <c r="F153" s="7">
        <v>73665</v>
      </c>
      <c r="G153" s="7">
        <v>27928</v>
      </c>
      <c r="H153" s="7" t="s">
        <v>19</v>
      </c>
    </row>
    <row r="154" spans="1:8">
      <c r="A154" s="7" t="s">
        <v>177</v>
      </c>
      <c r="B154" s="8">
        <v>45451</v>
      </c>
      <c r="C154" s="7" t="s">
        <v>3</v>
      </c>
      <c r="D154" s="7" t="s">
        <v>22</v>
      </c>
      <c r="E154" s="7">
        <v>2</v>
      </c>
      <c r="F154" s="7">
        <v>32322</v>
      </c>
      <c r="G154" s="7">
        <v>15357</v>
      </c>
      <c r="H154" s="7" t="s">
        <v>36</v>
      </c>
    </row>
    <row r="155" spans="1:8">
      <c r="A155" s="7" t="s">
        <v>178</v>
      </c>
      <c r="B155" s="8">
        <v>45451</v>
      </c>
      <c r="C155" s="7" t="s">
        <v>15</v>
      </c>
      <c r="D155" s="7" t="s">
        <v>27</v>
      </c>
      <c r="E155" s="7">
        <v>5</v>
      </c>
      <c r="F155" s="7">
        <v>53920</v>
      </c>
      <c r="G155" s="7">
        <v>48657</v>
      </c>
      <c r="H155" s="7" t="s">
        <v>36</v>
      </c>
    </row>
    <row r="156" spans="1:8">
      <c r="A156" s="7" t="s">
        <v>179</v>
      </c>
      <c r="B156" s="8">
        <v>45452</v>
      </c>
      <c r="C156" s="7" t="s">
        <v>3</v>
      </c>
      <c r="D156" s="7" t="s">
        <v>24</v>
      </c>
      <c r="E156" s="7">
        <v>6</v>
      </c>
      <c r="F156" s="7">
        <v>29665</v>
      </c>
      <c r="G156" s="7">
        <v>30806</v>
      </c>
      <c r="H156" s="7" t="s">
        <v>17</v>
      </c>
    </row>
    <row r="157" spans="1:8">
      <c r="A157" s="7" t="s">
        <v>180</v>
      </c>
      <c r="B157" s="8">
        <v>45452</v>
      </c>
      <c r="C157" s="7" t="s">
        <v>26</v>
      </c>
      <c r="D157" s="7" t="s">
        <v>27</v>
      </c>
      <c r="E157" s="7">
        <v>4</v>
      </c>
      <c r="F157" s="7">
        <v>37987</v>
      </c>
      <c r="G157" s="7">
        <v>14937</v>
      </c>
      <c r="H157" s="7" t="s">
        <v>17</v>
      </c>
    </row>
    <row r="158" spans="1:8">
      <c r="A158" s="7" t="s">
        <v>181</v>
      </c>
      <c r="B158" s="8">
        <v>45452</v>
      </c>
      <c r="C158" s="7" t="s">
        <v>15</v>
      </c>
      <c r="D158" s="7" t="s">
        <v>16</v>
      </c>
      <c r="E158" s="7">
        <v>4</v>
      </c>
      <c r="F158" s="7">
        <v>74116</v>
      </c>
      <c r="G158" s="7">
        <v>9438</v>
      </c>
      <c r="H158" s="7" t="s">
        <v>19</v>
      </c>
    </row>
    <row r="159" spans="1:8">
      <c r="A159" s="7" t="s">
        <v>182</v>
      </c>
      <c r="B159" s="8">
        <v>45452</v>
      </c>
      <c r="C159" s="7" t="s">
        <v>15</v>
      </c>
      <c r="D159" s="7" t="s">
        <v>16</v>
      </c>
      <c r="E159" s="7">
        <v>2</v>
      </c>
      <c r="F159" s="7">
        <v>14791</v>
      </c>
      <c r="G159" s="7">
        <v>22447</v>
      </c>
      <c r="H159" s="7" t="s">
        <v>30</v>
      </c>
    </row>
    <row r="160" spans="1:8">
      <c r="A160" s="7" t="s">
        <v>183</v>
      </c>
      <c r="B160" s="8">
        <v>45453</v>
      </c>
      <c r="C160" s="7" t="s">
        <v>26</v>
      </c>
      <c r="D160" s="7" t="s">
        <v>24</v>
      </c>
      <c r="E160" s="7">
        <v>5</v>
      </c>
      <c r="F160" s="7">
        <v>55191</v>
      </c>
      <c r="G160" s="7">
        <v>30197</v>
      </c>
      <c r="H160" s="7" t="s">
        <v>30</v>
      </c>
    </row>
    <row r="161" spans="1:8">
      <c r="A161" s="7" t="s">
        <v>184</v>
      </c>
      <c r="B161" s="8">
        <v>45454</v>
      </c>
      <c r="C161" s="7" t="s">
        <v>26</v>
      </c>
      <c r="D161" s="7" t="s">
        <v>32</v>
      </c>
      <c r="E161" s="7">
        <v>9</v>
      </c>
      <c r="F161" s="7">
        <v>18133</v>
      </c>
      <c r="G161" s="7">
        <v>11028</v>
      </c>
      <c r="H161" s="7" t="s">
        <v>30</v>
      </c>
    </row>
    <row r="162" spans="1:8">
      <c r="A162" s="7" t="s">
        <v>185</v>
      </c>
      <c r="B162" s="8">
        <v>45454</v>
      </c>
      <c r="C162" s="7" t="s">
        <v>2</v>
      </c>
      <c r="D162" s="7" t="s">
        <v>22</v>
      </c>
      <c r="E162" s="7">
        <v>8</v>
      </c>
      <c r="F162" s="7">
        <v>51931</v>
      </c>
      <c r="G162" s="7">
        <v>2283</v>
      </c>
      <c r="H162" s="7" t="s">
        <v>17</v>
      </c>
    </row>
    <row r="163" spans="1:8">
      <c r="A163" s="7" t="s">
        <v>186</v>
      </c>
      <c r="B163" s="8">
        <v>45456</v>
      </c>
      <c r="C163" s="7" t="s">
        <v>26</v>
      </c>
      <c r="D163" s="7" t="s">
        <v>24</v>
      </c>
      <c r="E163" s="7">
        <v>4</v>
      </c>
      <c r="F163" s="7">
        <v>65112</v>
      </c>
      <c r="G163" s="7">
        <v>37727</v>
      </c>
      <c r="H163" s="7" t="s">
        <v>17</v>
      </c>
    </row>
    <row r="164" spans="1:8">
      <c r="A164" s="7" t="s">
        <v>187</v>
      </c>
      <c r="B164" s="8">
        <v>45458</v>
      </c>
      <c r="C164" s="7" t="s">
        <v>1</v>
      </c>
      <c r="D164" s="7" t="s">
        <v>27</v>
      </c>
      <c r="E164" s="7">
        <v>2</v>
      </c>
      <c r="F164" s="7">
        <v>5260</v>
      </c>
      <c r="G164" s="7">
        <v>36851</v>
      </c>
      <c r="H164" s="7" t="s">
        <v>36</v>
      </c>
    </row>
    <row r="165" spans="1:8">
      <c r="A165" s="7" t="s">
        <v>188</v>
      </c>
      <c r="B165" s="8">
        <v>45460</v>
      </c>
      <c r="C165" s="7" t="s">
        <v>15</v>
      </c>
      <c r="D165" s="7" t="s">
        <v>22</v>
      </c>
      <c r="E165" s="7">
        <v>3</v>
      </c>
      <c r="F165" s="7">
        <v>23972</v>
      </c>
      <c r="G165" s="7">
        <v>2529</v>
      </c>
      <c r="H165" s="7" t="s">
        <v>17</v>
      </c>
    </row>
    <row r="166" spans="1:8">
      <c r="A166" s="7" t="s">
        <v>189</v>
      </c>
      <c r="B166" s="8">
        <v>45461</v>
      </c>
      <c r="C166" s="7" t="s">
        <v>15</v>
      </c>
      <c r="D166" s="7" t="s">
        <v>32</v>
      </c>
      <c r="E166" s="7">
        <v>4</v>
      </c>
      <c r="F166" s="7">
        <v>52424</v>
      </c>
      <c r="G166" s="7">
        <v>43815</v>
      </c>
      <c r="H166" s="7" t="s">
        <v>30</v>
      </c>
    </row>
    <row r="167" spans="1:8">
      <c r="A167" s="7" t="s">
        <v>190</v>
      </c>
      <c r="B167" s="8">
        <v>45461</v>
      </c>
      <c r="C167" s="7" t="s">
        <v>2</v>
      </c>
      <c r="D167" s="7" t="s">
        <v>32</v>
      </c>
      <c r="E167" s="7">
        <v>1</v>
      </c>
      <c r="F167" s="7">
        <v>46979</v>
      </c>
      <c r="G167" s="7">
        <v>35742</v>
      </c>
      <c r="H167" s="7" t="s">
        <v>19</v>
      </c>
    </row>
    <row r="168" spans="1:8">
      <c r="A168" s="7" t="s">
        <v>191</v>
      </c>
      <c r="B168" s="8">
        <v>45462</v>
      </c>
      <c r="C168" s="7" t="s">
        <v>2</v>
      </c>
      <c r="D168" s="7" t="s">
        <v>16</v>
      </c>
      <c r="E168" s="7">
        <v>3</v>
      </c>
      <c r="F168" s="7">
        <v>45343</v>
      </c>
      <c r="G168" s="7">
        <v>46603</v>
      </c>
      <c r="H168" s="7" t="s">
        <v>30</v>
      </c>
    </row>
    <row r="169" spans="1:8">
      <c r="A169" s="7" t="s">
        <v>192</v>
      </c>
      <c r="B169" s="8">
        <v>45463</v>
      </c>
      <c r="C169" s="7" t="s">
        <v>26</v>
      </c>
      <c r="D169" s="7" t="s">
        <v>32</v>
      </c>
      <c r="E169" s="7">
        <v>2</v>
      </c>
      <c r="F169" s="7">
        <v>62938</v>
      </c>
      <c r="G169" s="7">
        <v>7397</v>
      </c>
      <c r="H169" s="7" t="s">
        <v>17</v>
      </c>
    </row>
    <row r="170" spans="1:8">
      <c r="A170" s="7" t="s">
        <v>193</v>
      </c>
      <c r="B170" s="8">
        <v>45463</v>
      </c>
      <c r="C170" s="7" t="s">
        <v>4</v>
      </c>
      <c r="D170" s="7" t="s">
        <v>32</v>
      </c>
      <c r="E170" s="7">
        <v>5</v>
      </c>
      <c r="F170" s="7">
        <v>35094</v>
      </c>
      <c r="G170" s="7">
        <v>21644</v>
      </c>
      <c r="H170" s="7" t="s">
        <v>30</v>
      </c>
    </row>
    <row r="171" spans="1:8">
      <c r="A171" s="7" t="s">
        <v>194</v>
      </c>
      <c r="B171" s="8">
        <v>45463</v>
      </c>
      <c r="C171" s="7" t="s">
        <v>4</v>
      </c>
      <c r="D171" s="7" t="s">
        <v>27</v>
      </c>
      <c r="E171" s="7">
        <v>8</v>
      </c>
      <c r="F171" s="7">
        <v>17847</v>
      </c>
      <c r="G171" s="7">
        <v>14140</v>
      </c>
      <c r="H171" s="7" t="s">
        <v>36</v>
      </c>
    </row>
    <row r="172" spans="1:8">
      <c r="A172" s="7" t="s">
        <v>195</v>
      </c>
      <c r="B172" s="8">
        <v>45463</v>
      </c>
      <c r="C172" s="7" t="s">
        <v>15</v>
      </c>
      <c r="D172" s="7" t="s">
        <v>32</v>
      </c>
      <c r="E172" s="7">
        <v>4</v>
      </c>
      <c r="F172" s="7">
        <v>47357</v>
      </c>
      <c r="G172" s="7">
        <v>34866</v>
      </c>
      <c r="H172" s="7" t="s">
        <v>17</v>
      </c>
    </row>
    <row r="173" spans="1:8">
      <c r="A173" s="7" t="s">
        <v>196</v>
      </c>
      <c r="B173" s="8">
        <v>45465</v>
      </c>
      <c r="C173" s="7" t="s">
        <v>3</v>
      </c>
      <c r="D173" s="7" t="s">
        <v>16</v>
      </c>
      <c r="E173" s="7">
        <v>7</v>
      </c>
      <c r="F173" s="7">
        <v>57349</v>
      </c>
      <c r="G173" s="7">
        <v>45333</v>
      </c>
      <c r="H173" s="7" t="s">
        <v>17</v>
      </c>
    </row>
    <row r="174" spans="1:8">
      <c r="A174" s="7" t="s">
        <v>197</v>
      </c>
      <c r="B174" s="8">
        <v>45466</v>
      </c>
      <c r="C174" s="7" t="s">
        <v>2</v>
      </c>
      <c r="D174" s="7" t="s">
        <v>32</v>
      </c>
      <c r="E174" s="7">
        <v>3</v>
      </c>
      <c r="F174" s="7">
        <v>9427</v>
      </c>
      <c r="G174" s="7">
        <v>40213</v>
      </c>
      <c r="H174" s="7" t="s">
        <v>19</v>
      </c>
    </row>
    <row r="175" spans="1:8">
      <c r="A175" s="7" t="s">
        <v>198</v>
      </c>
      <c r="B175" s="8">
        <v>45467</v>
      </c>
      <c r="C175" s="7" t="s">
        <v>4</v>
      </c>
      <c r="D175" s="7" t="s">
        <v>24</v>
      </c>
      <c r="E175" s="7">
        <v>7</v>
      </c>
      <c r="F175" s="7">
        <v>28582</v>
      </c>
      <c r="G175" s="7">
        <v>33220</v>
      </c>
      <c r="H175" s="7" t="s">
        <v>17</v>
      </c>
    </row>
    <row r="176" spans="1:8">
      <c r="A176" s="7" t="s">
        <v>199</v>
      </c>
      <c r="B176" s="8">
        <v>45470</v>
      </c>
      <c r="C176" s="7" t="s">
        <v>1</v>
      </c>
      <c r="D176" s="7" t="s">
        <v>16</v>
      </c>
      <c r="E176" s="7">
        <v>7</v>
      </c>
      <c r="F176" s="7">
        <v>36878</v>
      </c>
      <c r="G176" s="7">
        <v>30312</v>
      </c>
      <c r="H176" s="7" t="s">
        <v>36</v>
      </c>
    </row>
    <row r="177" spans="1:8">
      <c r="A177" s="7" t="s">
        <v>200</v>
      </c>
      <c r="B177" s="8">
        <v>45471</v>
      </c>
      <c r="C177" s="7" t="s">
        <v>3</v>
      </c>
      <c r="D177" s="7" t="s">
        <v>16</v>
      </c>
      <c r="E177" s="7">
        <v>2</v>
      </c>
      <c r="F177" s="7">
        <v>40961</v>
      </c>
      <c r="G177" s="7">
        <v>43891</v>
      </c>
      <c r="H177" s="7" t="s">
        <v>17</v>
      </c>
    </row>
    <row r="178" spans="1:8">
      <c r="A178" s="7" t="s">
        <v>201</v>
      </c>
      <c r="B178" s="8">
        <v>45472</v>
      </c>
      <c r="C178" s="7" t="s">
        <v>26</v>
      </c>
      <c r="D178" s="7" t="s">
        <v>27</v>
      </c>
      <c r="E178" s="7">
        <v>3</v>
      </c>
      <c r="F178" s="7">
        <v>27306</v>
      </c>
      <c r="G178" s="7">
        <v>23433</v>
      </c>
      <c r="H178" s="7" t="s">
        <v>19</v>
      </c>
    </row>
    <row r="179" spans="1:8">
      <c r="A179" s="7" t="s">
        <v>202</v>
      </c>
      <c r="B179" s="8">
        <v>45475</v>
      </c>
      <c r="C179" s="7" t="s">
        <v>4</v>
      </c>
      <c r="D179" s="7" t="s">
        <v>32</v>
      </c>
      <c r="E179" s="7">
        <v>8</v>
      </c>
      <c r="F179" s="7">
        <v>34113</v>
      </c>
      <c r="G179" s="7">
        <v>13924</v>
      </c>
      <c r="H179" s="7" t="s">
        <v>30</v>
      </c>
    </row>
    <row r="180" spans="1:8">
      <c r="A180" s="7" t="s">
        <v>203</v>
      </c>
      <c r="B180" s="8">
        <v>45478</v>
      </c>
      <c r="C180" s="7" t="s">
        <v>15</v>
      </c>
      <c r="D180" s="7" t="s">
        <v>16</v>
      </c>
      <c r="E180" s="7">
        <v>4</v>
      </c>
      <c r="F180" s="7">
        <v>26092</v>
      </c>
      <c r="G180" s="7">
        <v>28037</v>
      </c>
      <c r="H180" s="7" t="s">
        <v>19</v>
      </c>
    </row>
    <row r="181" spans="1:8">
      <c r="A181" s="7" t="s">
        <v>204</v>
      </c>
      <c r="B181" s="8">
        <v>45478</v>
      </c>
      <c r="C181" s="7" t="s">
        <v>3</v>
      </c>
      <c r="D181" s="7" t="s">
        <v>27</v>
      </c>
      <c r="E181" s="7">
        <v>7</v>
      </c>
      <c r="F181" s="7">
        <v>30484</v>
      </c>
      <c r="G181" s="7">
        <v>33316</v>
      </c>
      <c r="H181" s="7" t="s">
        <v>19</v>
      </c>
    </row>
    <row r="182" spans="1:8">
      <c r="A182" s="7" t="s">
        <v>205</v>
      </c>
      <c r="B182" s="8">
        <v>45478</v>
      </c>
      <c r="C182" s="7" t="s">
        <v>3</v>
      </c>
      <c r="D182" s="7" t="s">
        <v>16</v>
      </c>
      <c r="E182" s="7">
        <v>9</v>
      </c>
      <c r="F182" s="7">
        <v>25532</v>
      </c>
      <c r="G182" s="7">
        <v>10283</v>
      </c>
      <c r="H182" s="7" t="s">
        <v>36</v>
      </c>
    </row>
    <row r="183" spans="1:8">
      <c r="A183" s="7" t="s">
        <v>206</v>
      </c>
      <c r="B183" s="8">
        <v>45479</v>
      </c>
      <c r="C183" s="7" t="s">
        <v>4</v>
      </c>
      <c r="D183" s="7" t="s">
        <v>16</v>
      </c>
      <c r="E183" s="7">
        <v>3</v>
      </c>
      <c r="F183" s="7">
        <v>28223</v>
      </c>
      <c r="G183" s="7">
        <v>45522</v>
      </c>
      <c r="H183" s="7" t="s">
        <v>36</v>
      </c>
    </row>
    <row r="184" spans="1:8">
      <c r="A184" s="7" t="s">
        <v>207</v>
      </c>
      <c r="B184" s="8">
        <v>45479</v>
      </c>
      <c r="C184" s="7" t="s">
        <v>4</v>
      </c>
      <c r="D184" s="7" t="s">
        <v>22</v>
      </c>
      <c r="E184" s="7">
        <v>6</v>
      </c>
      <c r="F184" s="7">
        <v>65929</v>
      </c>
      <c r="G184" s="7">
        <v>14428</v>
      </c>
      <c r="H184" s="7" t="s">
        <v>19</v>
      </c>
    </row>
    <row r="185" spans="1:8">
      <c r="A185" s="7" t="s">
        <v>208</v>
      </c>
      <c r="B185" s="8">
        <v>45479</v>
      </c>
      <c r="C185" s="7" t="s">
        <v>1</v>
      </c>
      <c r="D185" s="7" t="s">
        <v>16</v>
      </c>
      <c r="E185" s="7">
        <v>2</v>
      </c>
      <c r="F185" s="7">
        <v>70619</v>
      </c>
      <c r="G185" s="7">
        <v>10127</v>
      </c>
      <c r="H185" s="7" t="s">
        <v>19</v>
      </c>
    </row>
    <row r="186" spans="1:8">
      <c r="A186" s="7" t="s">
        <v>209</v>
      </c>
      <c r="B186" s="8">
        <v>45480</v>
      </c>
      <c r="C186" s="7" t="s">
        <v>15</v>
      </c>
      <c r="D186" s="7" t="s">
        <v>16</v>
      </c>
      <c r="E186" s="7">
        <v>3</v>
      </c>
      <c r="F186" s="7">
        <v>66338</v>
      </c>
      <c r="G186" s="7">
        <v>14057</v>
      </c>
      <c r="H186" s="7" t="s">
        <v>36</v>
      </c>
    </row>
    <row r="187" spans="1:8">
      <c r="A187" s="7" t="s">
        <v>210</v>
      </c>
      <c r="B187" s="8">
        <v>45481</v>
      </c>
      <c r="C187" s="7" t="s">
        <v>26</v>
      </c>
      <c r="D187" s="7" t="s">
        <v>32</v>
      </c>
      <c r="E187" s="7">
        <v>1</v>
      </c>
      <c r="F187" s="7">
        <v>36143</v>
      </c>
      <c r="G187" s="7">
        <v>35196</v>
      </c>
      <c r="H187" s="7" t="s">
        <v>17</v>
      </c>
    </row>
    <row r="188" spans="1:8">
      <c r="A188" s="7" t="s">
        <v>211</v>
      </c>
      <c r="B188" s="8">
        <v>45481</v>
      </c>
      <c r="C188" s="7" t="s">
        <v>1</v>
      </c>
      <c r="D188" s="7" t="s">
        <v>27</v>
      </c>
      <c r="E188" s="7">
        <v>6</v>
      </c>
      <c r="F188" s="7">
        <v>19243</v>
      </c>
      <c r="G188" s="7">
        <v>17029</v>
      </c>
      <c r="H188" s="7" t="s">
        <v>36</v>
      </c>
    </row>
    <row r="189" spans="1:8">
      <c r="A189" s="7" t="s">
        <v>212</v>
      </c>
      <c r="B189" s="8">
        <v>45481</v>
      </c>
      <c r="C189" s="7" t="s">
        <v>2</v>
      </c>
      <c r="D189" s="7" t="s">
        <v>22</v>
      </c>
      <c r="E189" s="7">
        <v>2</v>
      </c>
      <c r="F189" s="7">
        <v>10215</v>
      </c>
      <c r="G189" s="7">
        <v>39328</v>
      </c>
      <c r="H189" s="7" t="s">
        <v>36</v>
      </c>
    </row>
    <row r="190" spans="1:8">
      <c r="A190" s="7" t="s">
        <v>213</v>
      </c>
      <c r="B190" s="8">
        <v>45482</v>
      </c>
      <c r="C190" s="7" t="s">
        <v>2</v>
      </c>
      <c r="D190" s="7" t="s">
        <v>24</v>
      </c>
      <c r="E190" s="7">
        <v>9</v>
      </c>
      <c r="F190" s="7">
        <v>43152</v>
      </c>
      <c r="G190" s="7">
        <v>28766</v>
      </c>
      <c r="H190" s="7" t="s">
        <v>36</v>
      </c>
    </row>
    <row r="191" spans="1:8">
      <c r="A191" s="7" t="s">
        <v>214</v>
      </c>
      <c r="B191" s="8">
        <v>45482</v>
      </c>
      <c r="C191" s="7" t="s">
        <v>15</v>
      </c>
      <c r="D191" s="7" t="s">
        <v>32</v>
      </c>
      <c r="E191" s="7">
        <v>9</v>
      </c>
      <c r="F191" s="7">
        <v>55919</v>
      </c>
      <c r="G191" s="7">
        <v>2958</v>
      </c>
      <c r="H191" s="7" t="s">
        <v>19</v>
      </c>
    </row>
    <row r="192" spans="1:8">
      <c r="A192" s="7" t="s">
        <v>215</v>
      </c>
      <c r="B192" s="8">
        <v>45483</v>
      </c>
      <c r="C192" s="7" t="s">
        <v>1</v>
      </c>
      <c r="D192" s="7" t="s">
        <v>22</v>
      </c>
      <c r="E192" s="7">
        <v>1</v>
      </c>
      <c r="F192" s="7">
        <v>66524</v>
      </c>
      <c r="G192" s="7">
        <v>40019</v>
      </c>
      <c r="H192" s="7" t="s">
        <v>19</v>
      </c>
    </row>
    <row r="193" spans="1:8">
      <c r="A193" s="7" t="s">
        <v>216</v>
      </c>
      <c r="B193" s="8">
        <v>45483</v>
      </c>
      <c r="C193" s="7" t="s">
        <v>3</v>
      </c>
      <c r="D193" s="7" t="s">
        <v>32</v>
      </c>
      <c r="E193" s="7">
        <v>8</v>
      </c>
      <c r="F193" s="7">
        <v>62058</v>
      </c>
      <c r="G193" s="7">
        <v>14230</v>
      </c>
      <c r="H193" s="7" t="s">
        <v>30</v>
      </c>
    </row>
    <row r="194" spans="1:8">
      <c r="A194" s="7" t="s">
        <v>217</v>
      </c>
      <c r="B194" s="8">
        <v>45485</v>
      </c>
      <c r="C194" s="7" t="s">
        <v>26</v>
      </c>
      <c r="D194" s="7" t="s">
        <v>27</v>
      </c>
      <c r="E194" s="7">
        <v>3</v>
      </c>
      <c r="F194" s="7">
        <v>20781</v>
      </c>
      <c r="G194" s="7">
        <v>32852</v>
      </c>
      <c r="H194" s="7" t="s">
        <v>17</v>
      </c>
    </row>
    <row r="195" spans="1:8">
      <c r="A195" s="7" t="s">
        <v>218</v>
      </c>
      <c r="B195" s="8">
        <v>45486</v>
      </c>
      <c r="C195" s="7" t="s">
        <v>2</v>
      </c>
      <c r="D195" s="7" t="s">
        <v>32</v>
      </c>
      <c r="E195" s="7">
        <v>7</v>
      </c>
      <c r="F195" s="7">
        <v>61420</v>
      </c>
      <c r="G195" s="7">
        <v>24172</v>
      </c>
      <c r="H195" s="7" t="s">
        <v>19</v>
      </c>
    </row>
    <row r="196" spans="1:8">
      <c r="A196" s="7" t="s">
        <v>219</v>
      </c>
      <c r="B196" s="8">
        <v>45489</v>
      </c>
      <c r="C196" s="7" t="s">
        <v>4</v>
      </c>
      <c r="D196" s="7" t="s">
        <v>22</v>
      </c>
      <c r="E196" s="7">
        <v>3</v>
      </c>
      <c r="F196" s="7">
        <v>65477</v>
      </c>
      <c r="G196" s="7">
        <v>12918</v>
      </c>
      <c r="H196" s="7" t="s">
        <v>30</v>
      </c>
    </row>
    <row r="197" spans="1:8">
      <c r="A197" s="7" t="s">
        <v>220</v>
      </c>
      <c r="B197" s="8">
        <v>45489</v>
      </c>
      <c r="C197" s="7" t="s">
        <v>26</v>
      </c>
      <c r="D197" s="7" t="s">
        <v>27</v>
      </c>
      <c r="E197" s="7">
        <v>2</v>
      </c>
      <c r="F197" s="7">
        <v>47159</v>
      </c>
      <c r="G197" s="7">
        <v>47136</v>
      </c>
      <c r="H197" s="7" t="s">
        <v>19</v>
      </c>
    </row>
    <row r="198" spans="1:8">
      <c r="A198" s="7" t="s">
        <v>221</v>
      </c>
      <c r="B198" s="8">
        <v>45489</v>
      </c>
      <c r="C198" s="7" t="s">
        <v>3</v>
      </c>
      <c r="D198" s="7" t="s">
        <v>27</v>
      </c>
      <c r="E198" s="7">
        <v>4</v>
      </c>
      <c r="F198" s="7">
        <v>72646</v>
      </c>
      <c r="G198" s="7">
        <v>2727</v>
      </c>
      <c r="H198" s="7" t="s">
        <v>30</v>
      </c>
    </row>
    <row r="199" spans="1:8">
      <c r="A199" s="7" t="s">
        <v>222</v>
      </c>
      <c r="B199" s="8">
        <v>45490</v>
      </c>
      <c r="C199" s="7" t="s">
        <v>1</v>
      </c>
      <c r="D199" s="7" t="s">
        <v>27</v>
      </c>
      <c r="E199" s="7">
        <v>9</v>
      </c>
      <c r="F199" s="7">
        <v>23812</v>
      </c>
      <c r="G199" s="7">
        <v>40961</v>
      </c>
      <c r="H199" s="7" t="s">
        <v>36</v>
      </c>
    </row>
    <row r="200" spans="1:8">
      <c r="A200" s="7" t="s">
        <v>223</v>
      </c>
      <c r="B200" s="8">
        <v>45492</v>
      </c>
      <c r="C200" s="7" t="s">
        <v>15</v>
      </c>
      <c r="D200" s="7" t="s">
        <v>27</v>
      </c>
      <c r="E200" s="7">
        <v>5</v>
      </c>
      <c r="F200" s="7">
        <v>58493</v>
      </c>
      <c r="G200" s="7">
        <v>15472</v>
      </c>
      <c r="H200" s="7" t="s">
        <v>30</v>
      </c>
    </row>
    <row r="201" spans="1:8">
      <c r="A201" s="7" t="s">
        <v>224</v>
      </c>
      <c r="B201" s="8">
        <v>45492</v>
      </c>
      <c r="C201" s="7" t="s">
        <v>3</v>
      </c>
      <c r="D201" s="7" t="s">
        <v>16</v>
      </c>
      <c r="E201" s="7">
        <v>1</v>
      </c>
      <c r="F201" s="7">
        <v>50341</v>
      </c>
      <c r="G201" s="7">
        <v>13819</v>
      </c>
      <c r="H201" s="7" t="s">
        <v>19</v>
      </c>
    </row>
    <row r="202" spans="1:8">
      <c r="A202" s="7" t="s">
        <v>225</v>
      </c>
      <c r="B202" s="8">
        <v>45493</v>
      </c>
      <c r="C202" s="7" t="s">
        <v>2</v>
      </c>
      <c r="D202" s="7" t="s">
        <v>24</v>
      </c>
      <c r="E202" s="7">
        <v>6</v>
      </c>
      <c r="F202" s="7">
        <v>64657</v>
      </c>
      <c r="G202" s="7">
        <v>4586</v>
      </c>
      <c r="H202" s="7" t="s">
        <v>30</v>
      </c>
    </row>
    <row r="203" spans="1:8">
      <c r="A203" s="7" t="s">
        <v>226</v>
      </c>
      <c r="B203" s="8">
        <v>45494</v>
      </c>
      <c r="C203" s="7" t="s">
        <v>3</v>
      </c>
      <c r="D203" s="7" t="s">
        <v>27</v>
      </c>
      <c r="E203" s="7">
        <v>9</v>
      </c>
      <c r="F203" s="7">
        <v>74770</v>
      </c>
      <c r="G203" s="7">
        <v>13722</v>
      </c>
      <c r="H203" s="7" t="s">
        <v>30</v>
      </c>
    </row>
    <row r="204" spans="1:8">
      <c r="A204" s="7" t="s">
        <v>227</v>
      </c>
      <c r="B204" s="8">
        <v>45497</v>
      </c>
      <c r="C204" s="7" t="s">
        <v>4</v>
      </c>
      <c r="D204" s="7" t="s">
        <v>32</v>
      </c>
      <c r="E204" s="7">
        <v>1</v>
      </c>
      <c r="F204" s="7">
        <v>56588</v>
      </c>
      <c r="G204" s="7">
        <v>2013</v>
      </c>
      <c r="H204" s="7" t="s">
        <v>30</v>
      </c>
    </row>
    <row r="205" spans="1:8">
      <c r="A205" s="7" t="s">
        <v>228</v>
      </c>
      <c r="B205" s="8">
        <v>45498</v>
      </c>
      <c r="C205" s="7" t="s">
        <v>2</v>
      </c>
      <c r="D205" s="7" t="s">
        <v>24</v>
      </c>
      <c r="E205" s="7">
        <v>7</v>
      </c>
      <c r="F205" s="7">
        <v>72740</v>
      </c>
      <c r="G205" s="7">
        <v>49709</v>
      </c>
      <c r="H205" s="7" t="s">
        <v>19</v>
      </c>
    </row>
    <row r="206" spans="1:8">
      <c r="A206" s="7" t="s">
        <v>229</v>
      </c>
      <c r="B206" s="8">
        <v>45499</v>
      </c>
      <c r="C206" s="7" t="s">
        <v>4</v>
      </c>
      <c r="D206" s="7" t="s">
        <v>27</v>
      </c>
      <c r="E206" s="7">
        <v>2</v>
      </c>
      <c r="F206" s="7">
        <v>6941</v>
      </c>
      <c r="G206" s="7">
        <v>44922</v>
      </c>
      <c r="H206" s="7" t="s">
        <v>30</v>
      </c>
    </row>
    <row r="207" spans="1:8">
      <c r="A207" s="7" t="s">
        <v>230</v>
      </c>
      <c r="B207" s="8">
        <v>45499</v>
      </c>
      <c r="C207" s="7" t="s">
        <v>2</v>
      </c>
      <c r="D207" s="7" t="s">
        <v>22</v>
      </c>
      <c r="E207" s="7">
        <v>6</v>
      </c>
      <c r="F207" s="7">
        <v>11134</v>
      </c>
      <c r="G207" s="7">
        <v>20206</v>
      </c>
      <c r="H207" s="7" t="s">
        <v>30</v>
      </c>
    </row>
    <row r="208" spans="1:8">
      <c r="A208" s="7" t="s">
        <v>231</v>
      </c>
      <c r="B208" s="8">
        <v>45499</v>
      </c>
      <c r="C208" s="7" t="s">
        <v>15</v>
      </c>
      <c r="D208" s="7" t="s">
        <v>32</v>
      </c>
      <c r="E208" s="7">
        <v>5</v>
      </c>
      <c r="F208" s="7">
        <v>29102</v>
      </c>
      <c r="G208" s="7">
        <v>34691</v>
      </c>
      <c r="H208" s="7" t="s">
        <v>30</v>
      </c>
    </row>
    <row r="209" spans="1:8">
      <c r="A209" s="7" t="s">
        <v>232</v>
      </c>
      <c r="B209" s="8">
        <v>45504</v>
      </c>
      <c r="C209" s="7" t="s">
        <v>1</v>
      </c>
      <c r="D209" s="7" t="s">
        <v>16</v>
      </c>
      <c r="E209" s="7">
        <v>3</v>
      </c>
      <c r="F209" s="7">
        <v>74672</v>
      </c>
      <c r="G209" s="7">
        <v>29731</v>
      </c>
      <c r="H209" s="7" t="s">
        <v>19</v>
      </c>
    </row>
    <row r="210" spans="1:8">
      <c r="A210" s="7" t="s">
        <v>233</v>
      </c>
      <c r="B210" s="8">
        <v>45505</v>
      </c>
      <c r="C210" s="7" t="s">
        <v>26</v>
      </c>
      <c r="D210" s="7" t="s">
        <v>27</v>
      </c>
      <c r="E210" s="7">
        <v>3</v>
      </c>
      <c r="F210" s="7">
        <v>52001</v>
      </c>
      <c r="G210" s="7">
        <v>36525</v>
      </c>
      <c r="H210" s="7" t="s">
        <v>17</v>
      </c>
    </row>
    <row r="211" spans="1:8">
      <c r="A211" s="7" t="s">
        <v>234</v>
      </c>
      <c r="B211" s="8">
        <v>45506</v>
      </c>
      <c r="C211" s="7" t="s">
        <v>4</v>
      </c>
      <c r="D211" s="7" t="s">
        <v>22</v>
      </c>
      <c r="E211" s="7">
        <v>7</v>
      </c>
      <c r="F211" s="7">
        <v>31159</v>
      </c>
      <c r="G211" s="7">
        <v>27062</v>
      </c>
      <c r="H211" s="7" t="s">
        <v>30</v>
      </c>
    </row>
    <row r="212" spans="1:8">
      <c r="A212" s="7" t="s">
        <v>235</v>
      </c>
      <c r="B212" s="8">
        <v>45506</v>
      </c>
      <c r="C212" s="7" t="s">
        <v>3</v>
      </c>
      <c r="D212" s="7" t="s">
        <v>32</v>
      </c>
      <c r="E212" s="7">
        <v>8</v>
      </c>
      <c r="F212" s="7">
        <v>64146</v>
      </c>
      <c r="G212" s="7">
        <v>44543</v>
      </c>
      <c r="H212" s="7" t="s">
        <v>30</v>
      </c>
    </row>
    <row r="213" spans="1:8">
      <c r="A213" s="7" t="s">
        <v>236</v>
      </c>
      <c r="B213" s="8">
        <v>45507</v>
      </c>
      <c r="C213" s="7" t="s">
        <v>3</v>
      </c>
      <c r="D213" s="7" t="s">
        <v>27</v>
      </c>
      <c r="E213" s="7">
        <v>5</v>
      </c>
      <c r="F213" s="7">
        <v>32617</v>
      </c>
      <c r="G213" s="7">
        <v>47698</v>
      </c>
      <c r="H213" s="7" t="s">
        <v>30</v>
      </c>
    </row>
    <row r="214" spans="1:8">
      <c r="A214" s="7" t="s">
        <v>237</v>
      </c>
      <c r="B214" s="8">
        <v>45508</v>
      </c>
      <c r="C214" s="7" t="s">
        <v>2</v>
      </c>
      <c r="D214" s="7" t="s">
        <v>32</v>
      </c>
      <c r="E214" s="7">
        <v>5</v>
      </c>
      <c r="F214" s="7">
        <v>14173</v>
      </c>
      <c r="G214" s="7">
        <v>22817</v>
      </c>
      <c r="H214" s="7" t="s">
        <v>17</v>
      </c>
    </row>
    <row r="215" spans="1:8">
      <c r="A215" s="7" t="s">
        <v>238</v>
      </c>
      <c r="B215" s="8">
        <v>45509</v>
      </c>
      <c r="C215" s="7" t="s">
        <v>1</v>
      </c>
      <c r="D215" s="7" t="s">
        <v>16</v>
      </c>
      <c r="E215" s="7">
        <v>4</v>
      </c>
      <c r="F215" s="7">
        <v>13967</v>
      </c>
      <c r="G215" s="7">
        <v>3563</v>
      </c>
      <c r="H215" s="7" t="s">
        <v>17</v>
      </c>
    </row>
    <row r="216" spans="1:8">
      <c r="A216" s="7" t="s">
        <v>239</v>
      </c>
      <c r="B216" s="8">
        <v>45509</v>
      </c>
      <c r="C216" s="7" t="s">
        <v>1</v>
      </c>
      <c r="D216" s="7" t="s">
        <v>24</v>
      </c>
      <c r="E216" s="7">
        <v>1</v>
      </c>
      <c r="F216" s="7">
        <v>14710</v>
      </c>
      <c r="G216" s="7">
        <v>23436</v>
      </c>
      <c r="H216" s="7" t="s">
        <v>19</v>
      </c>
    </row>
    <row r="217" spans="1:8">
      <c r="A217" s="7" t="s">
        <v>240</v>
      </c>
      <c r="B217" s="8">
        <v>45509</v>
      </c>
      <c r="C217" s="7" t="s">
        <v>26</v>
      </c>
      <c r="D217" s="7" t="s">
        <v>22</v>
      </c>
      <c r="E217" s="7">
        <v>5</v>
      </c>
      <c r="F217" s="7">
        <v>17420</v>
      </c>
      <c r="G217" s="7">
        <v>18921</v>
      </c>
      <c r="H217" s="7" t="s">
        <v>17</v>
      </c>
    </row>
    <row r="218" spans="1:8">
      <c r="A218" s="7" t="s">
        <v>241</v>
      </c>
      <c r="B218" s="8">
        <v>45511</v>
      </c>
      <c r="C218" s="7" t="s">
        <v>2</v>
      </c>
      <c r="D218" s="7" t="s">
        <v>16</v>
      </c>
      <c r="E218" s="7">
        <v>9</v>
      </c>
      <c r="F218" s="7">
        <v>31555</v>
      </c>
      <c r="G218" s="7">
        <v>24481</v>
      </c>
      <c r="H218" s="7" t="s">
        <v>36</v>
      </c>
    </row>
    <row r="219" spans="1:8">
      <c r="A219" s="7" t="s">
        <v>242</v>
      </c>
      <c r="B219" s="8">
        <v>45511</v>
      </c>
      <c r="C219" s="7" t="s">
        <v>2</v>
      </c>
      <c r="D219" s="7" t="s">
        <v>27</v>
      </c>
      <c r="E219" s="7">
        <v>2</v>
      </c>
      <c r="F219" s="7">
        <v>35464</v>
      </c>
      <c r="G219" s="7">
        <v>40864</v>
      </c>
      <c r="H219" s="7" t="s">
        <v>36</v>
      </c>
    </row>
    <row r="220" spans="1:8">
      <c r="A220" s="7" t="s">
        <v>243</v>
      </c>
      <c r="B220" s="8">
        <v>45513</v>
      </c>
      <c r="C220" s="7" t="s">
        <v>4</v>
      </c>
      <c r="D220" s="7" t="s">
        <v>27</v>
      </c>
      <c r="E220" s="7">
        <v>1</v>
      </c>
      <c r="F220" s="7">
        <v>5749</v>
      </c>
      <c r="G220" s="7">
        <v>8531</v>
      </c>
      <c r="H220" s="7" t="s">
        <v>19</v>
      </c>
    </row>
    <row r="221" spans="1:8">
      <c r="A221" s="7" t="s">
        <v>244</v>
      </c>
      <c r="B221" s="8">
        <v>45514</v>
      </c>
      <c r="C221" s="7" t="s">
        <v>15</v>
      </c>
      <c r="D221" s="7" t="s">
        <v>22</v>
      </c>
      <c r="E221" s="7">
        <v>7</v>
      </c>
      <c r="F221" s="7">
        <v>49258</v>
      </c>
      <c r="G221" s="7">
        <v>48246</v>
      </c>
      <c r="H221" s="7" t="s">
        <v>19</v>
      </c>
    </row>
    <row r="222" spans="1:8">
      <c r="A222" s="7" t="s">
        <v>245</v>
      </c>
      <c r="B222" s="8">
        <v>45515</v>
      </c>
      <c r="C222" s="7" t="s">
        <v>1</v>
      </c>
      <c r="D222" s="7" t="s">
        <v>24</v>
      </c>
      <c r="E222" s="7">
        <v>6</v>
      </c>
      <c r="F222" s="7">
        <v>11638</v>
      </c>
      <c r="G222" s="7">
        <v>46232</v>
      </c>
      <c r="H222" s="7" t="s">
        <v>30</v>
      </c>
    </row>
    <row r="223" spans="1:8">
      <c r="A223" s="7" t="s">
        <v>246</v>
      </c>
      <c r="B223" s="8">
        <v>45516</v>
      </c>
      <c r="C223" s="7" t="s">
        <v>26</v>
      </c>
      <c r="D223" s="7" t="s">
        <v>27</v>
      </c>
      <c r="E223" s="7">
        <v>2</v>
      </c>
      <c r="F223" s="7">
        <v>19669</v>
      </c>
      <c r="G223" s="7">
        <v>16892</v>
      </c>
      <c r="H223" s="7" t="s">
        <v>19</v>
      </c>
    </row>
    <row r="224" spans="1:8">
      <c r="A224" s="7" t="s">
        <v>247</v>
      </c>
      <c r="B224" s="8">
        <v>45516</v>
      </c>
      <c r="C224" s="7" t="s">
        <v>2</v>
      </c>
      <c r="D224" s="7" t="s">
        <v>22</v>
      </c>
      <c r="E224" s="7">
        <v>6</v>
      </c>
      <c r="F224" s="7">
        <v>62429</v>
      </c>
      <c r="G224" s="7">
        <v>46951</v>
      </c>
      <c r="H224" s="7" t="s">
        <v>30</v>
      </c>
    </row>
    <row r="225" spans="1:8">
      <c r="A225" s="7" t="s">
        <v>248</v>
      </c>
      <c r="B225" s="8">
        <v>45516</v>
      </c>
      <c r="C225" s="7" t="s">
        <v>26</v>
      </c>
      <c r="D225" s="7" t="s">
        <v>22</v>
      </c>
      <c r="E225" s="7">
        <v>5</v>
      </c>
      <c r="F225" s="7">
        <v>35798</v>
      </c>
      <c r="G225" s="7">
        <v>22008</v>
      </c>
      <c r="H225" s="7" t="s">
        <v>30</v>
      </c>
    </row>
    <row r="226" spans="1:8">
      <c r="A226" s="7" t="s">
        <v>249</v>
      </c>
      <c r="B226" s="8">
        <v>45517</v>
      </c>
      <c r="C226" s="7" t="s">
        <v>4</v>
      </c>
      <c r="D226" s="7" t="s">
        <v>24</v>
      </c>
      <c r="E226" s="7">
        <v>1</v>
      </c>
      <c r="F226" s="7">
        <v>79315</v>
      </c>
      <c r="G226" s="7">
        <v>1587</v>
      </c>
      <c r="H226" s="7" t="s">
        <v>17</v>
      </c>
    </row>
    <row r="227" spans="1:8">
      <c r="A227" s="7" t="s">
        <v>250</v>
      </c>
      <c r="B227" s="8">
        <v>45518</v>
      </c>
      <c r="C227" s="7" t="s">
        <v>4</v>
      </c>
      <c r="D227" s="7" t="s">
        <v>27</v>
      </c>
      <c r="E227" s="7">
        <v>2</v>
      </c>
      <c r="F227" s="7">
        <v>34393</v>
      </c>
      <c r="G227" s="7">
        <v>24284</v>
      </c>
      <c r="H227" s="7" t="s">
        <v>17</v>
      </c>
    </row>
    <row r="228" spans="1:8">
      <c r="A228" s="7" t="s">
        <v>251</v>
      </c>
      <c r="B228" s="8">
        <v>45518</v>
      </c>
      <c r="C228" s="7" t="s">
        <v>3</v>
      </c>
      <c r="D228" s="7" t="s">
        <v>22</v>
      </c>
      <c r="E228" s="7">
        <v>2</v>
      </c>
      <c r="F228" s="7">
        <v>53852</v>
      </c>
      <c r="G228" s="7">
        <v>26188</v>
      </c>
      <c r="H228" s="7" t="s">
        <v>30</v>
      </c>
    </row>
    <row r="229" spans="1:8">
      <c r="A229" s="7" t="s">
        <v>252</v>
      </c>
      <c r="B229" s="8">
        <v>45521</v>
      </c>
      <c r="C229" s="7" t="s">
        <v>2</v>
      </c>
      <c r="D229" s="7" t="s">
        <v>16</v>
      </c>
      <c r="E229" s="7">
        <v>8</v>
      </c>
      <c r="F229" s="7">
        <v>28638</v>
      </c>
      <c r="G229" s="7">
        <v>27475</v>
      </c>
      <c r="H229" s="7" t="s">
        <v>36</v>
      </c>
    </row>
    <row r="230" spans="1:8">
      <c r="A230" s="7" t="s">
        <v>253</v>
      </c>
      <c r="B230" s="8">
        <v>45522</v>
      </c>
      <c r="C230" s="7" t="s">
        <v>26</v>
      </c>
      <c r="D230" s="7" t="s">
        <v>24</v>
      </c>
      <c r="E230" s="7">
        <v>2</v>
      </c>
      <c r="F230" s="7">
        <v>16514</v>
      </c>
      <c r="G230" s="7">
        <v>35501</v>
      </c>
      <c r="H230" s="7" t="s">
        <v>19</v>
      </c>
    </row>
    <row r="231" spans="1:8">
      <c r="A231" s="7" t="s">
        <v>254</v>
      </c>
      <c r="B231" s="8">
        <v>45522</v>
      </c>
      <c r="C231" s="7" t="s">
        <v>15</v>
      </c>
      <c r="D231" s="7" t="s">
        <v>16</v>
      </c>
      <c r="E231" s="7">
        <v>2</v>
      </c>
      <c r="F231" s="7">
        <v>57049</v>
      </c>
      <c r="G231" s="7">
        <v>44619</v>
      </c>
      <c r="H231" s="7" t="s">
        <v>30</v>
      </c>
    </row>
    <row r="232" spans="1:8">
      <c r="A232" s="7" t="s">
        <v>255</v>
      </c>
      <c r="B232" s="8">
        <v>45522</v>
      </c>
      <c r="C232" s="7" t="s">
        <v>2</v>
      </c>
      <c r="D232" s="7" t="s">
        <v>22</v>
      </c>
      <c r="E232" s="7">
        <v>8</v>
      </c>
      <c r="F232" s="7">
        <v>10186</v>
      </c>
      <c r="G232" s="7">
        <v>8710</v>
      </c>
      <c r="H232" s="7" t="s">
        <v>30</v>
      </c>
    </row>
    <row r="233" spans="1:8">
      <c r="A233" s="7" t="s">
        <v>256</v>
      </c>
      <c r="B233" s="8">
        <v>45522</v>
      </c>
      <c r="C233" s="7" t="s">
        <v>2</v>
      </c>
      <c r="D233" s="7" t="s">
        <v>24</v>
      </c>
      <c r="E233" s="7">
        <v>7</v>
      </c>
      <c r="F233" s="7">
        <v>65561</v>
      </c>
      <c r="G233" s="7">
        <v>19681</v>
      </c>
      <c r="H233" s="7" t="s">
        <v>36</v>
      </c>
    </row>
    <row r="234" spans="1:8">
      <c r="A234" s="7" t="s">
        <v>257</v>
      </c>
      <c r="B234" s="8">
        <v>45524</v>
      </c>
      <c r="C234" s="7" t="s">
        <v>15</v>
      </c>
      <c r="D234" s="7" t="s">
        <v>24</v>
      </c>
      <c r="E234" s="7">
        <v>2</v>
      </c>
      <c r="F234" s="7">
        <v>43185</v>
      </c>
      <c r="G234" s="7">
        <v>8927</v>
      </c>
      <c r="H234" s="7" t="s">
        <v>19</v>
      </c>
    </row>
    <row r="235" spans="1:8">
      <c r="A235" s="7" t="s">
        <v>258</v>
      </c>
      <c r="B235" s="8">
        <v>45524</v>
      </c>
      <c r="C235" s="7" t="s">
        <v>3</v>
      </c>
      <c r="D235" s="7" t="s">
        <v>22</v>
      </c>
      <c r="E235" s="7">
        <v>8</v>
      </c>
      <c r="F235" s="7">
        <v>32250</v>
      </c>
      <c r="G235" s="7">
        <v>30055</v>
      </c>
      <c r="H235" s="7" t="s">
        <v>30</v>
      </c>
    </row>
    <row r="236" spans="1:8">
      <c r="A236" s="7" t="s">
        <v>259</v>
      </c>
      <c r="B236" s="8">
        <v>45524</v>
      </c>
      <c r="C236" s="7" t="s">
        <v>1</v>
      </c>
      <c r="D236" s="7" t="s">
        <v>32</v>
      </c>
      <c r="E236" s="7">
        <v>9</v>
      </c>
      <c r="F236" s="7">
        <v>663</v>
      </c>
      <c r="G236" s="7">
        <v>30139</v>
      </c>
      <c r="H236" s="7" t="s">
        <v>36</v>
      </c>
    </row>
    <row r="237" spans="1:8">
      <c r="A237" s="7" t="s">
        <v>260</v>
      </c>
      <c r="B237" s="8">
        <v>45524</v>
      </c>
      <c r="C237" s="7" t="s">
        <v>4</v>
      </c>
      <c r="D237" s="7" t="s">
        <v>24</v>
      </c>
      <c r="E237" s="7">
        <v>6</v>
      </c>
      <c r="F237" s="7">
        <v>61203</v>
      </c>
      <c r="G237" s="7">
        <v>12101</v>
      </c>
      <c r="H237" s="7" t="s">
        <v>30</v>
      </c>
    </row>
    <row r="238" spans="1:8">
      <c r="A238" s="7" t="s">
        <v>261</v>
      </c>
      <c r="B238" s="8">
        <v>45525</v>
      </c>
      <c r="C238" s="7" t="s">
        <v>26</v>
      </c>
      <c r="D238" s="7" t="s">
        <v>16</v>
      </c>
      <c r="E238" s="7">
        <v>9</v>
      </c>
      <c r="F238" s="7">
        <v>25669</v>
      </c>
      <c r="G238" s="7">
        <v>6432</v>
      </c>
      <c r="H238" s="7" t="s">
        <v>30</v>
      </c>
    </row>
    <row r="239" spans="1:8">
      <c r="A239" s="7" t="s">
        <v>262</v>
      </c>
      <c r="B239" s="8">
        <v>45527</v>
      </c>
      <c r="C239" s="7" t="s">
        <v>2</v>
      </c>
      <c r="D239" s="7" t="s">
        <v>16</v>
      </c>
      <c r="E239" s="7">
        <v>3</v>
      </c>
      <c r="F239" s="7">
        <v>73797</v>
      </c>
      <c r="G239" s="7">
        <v>26860</v>
      </c>
      <c r="H239" s="7" t="s">
        <v>36</v>
      </c>
    </row>
    <row r="240" spans="1:8">
      <c r="A240" s="7" t="s">
        <v>263</v>
      </c>
      <c r="B240" s="8">
        <v>45528</v>
      </c>
      <c r="C240" s="7" t="s">
        <v>4</v>
      </c>
      <c r="D240" s="7" t="s">
        <v>16</v>
      </c>
      <c r="E240" s="7">
        <v>9</v>
      </c>
      <c r="F240" s="7">
        <v>25111</v>
      </c>
      <c r="G240" s="7">
        <v>45848</v>
      </c>
      <c r="H240" s="7" t="s">
        <v>19</v>
      </c>
    </row>
    <row r="241" spans="1:8">
      <c r="A241" s="7" t="s">
        <v>264</v>
      </c>
      <c r="B241" s="8">
        <v>45528</v>
      </c>
      <c r="C241" s="7" t="s">
        <v>1</v>
      </c>
      <c r="D241" s="7" t="s">
        <v>32</v>
      </c>
      <c r="E241" s="7">
        <v>3</v>
      </c>
      <c r="F241" s="7">
        <v>53863</v>
      </c>
      <c r="G241" s="7">
        <v>2619</v>
      </c>
      <c r="H241" s="7" t="s">
        <v>17</v>
      </c>
    </row>
    <row r="242" spans="1:8">
      <c r="A242" s="7" t="s">
        <v>265</v>
      </c>
      <c r="B242" s="8">
        <v>45529</v>
      </c>
      <c r="C242" s="7" t="s">
        <v>15</v>
      </c>
      <c r="D242" s="7" t="s">
        <v>32</v>
      </c>
      <c r="E242" s="7">
        <v>5</v>
      </c>
      <c r="F242" s="7">
        <v>70567</v>
      </c>
      <c r="G242" s="7">
        <v>31090</v>
      </c>
      <c r="H242" s="7" t="s">
        <v>30</v>
      </c>
    </row>
    <row r="243" spans="1:8">
      <c r="A243" s="7" t="s">
        <v>266</v>
      </c>
      <c r="B243" s="8">
        <v>45531</v>
      </c>
      <c r="C243" s="7" t="s">
        <v>15</v>
      </c>
      <c r="D243" s="7" t="s">
        <v>22</v>
      </c>
      <c r="E243" s="7">
        <v>2</v>
      </c>
      <c r="F243" s="7">
        <v>79864</v>
      </c>
      <c r="G243" s="7">
        <v>38823</v>
      </c>
      <c r="H243" s="7" t="s">
        <v>36</v>
      </c>
    </row>
    <row r="244" spans="1:8">
      <c r="A244" s="7" t="s">
        <v>267</v>
      </c>
      <c r="B244" s="8">
        <v>45532</v>
      </c>
      <c r="C244" s="7" t="s">
        <v>26</v>
      </c>
      <c r="D244" s="7" t="s">
        <v>16</v>
      </c>
      <c r="E244" s="7">
        <v>7</v>
      </c>
      <c r="F244" s="7">
        <v>35003</v>
      </c>
      <c r="G244" s="7">
        <v>43821</v>
      </c>
      <c r="H244" s="7" t="s">
        <v>17</v>
      </c>
    </row>
    <row r="245" spans="1:8">
      <c r="A245" s="7" t="s">
        <v>268</v>
      </c>
      <c r="B245" s="8">
        <v>45533</v>
      </c>
      <c r="C245" s="7" t="s">
        <v>26</v>
      </c>
      <c r="D245" s="7" t="s">
        <v>16</v>
      </c>
      <c r="E245" s="7">
        <v>7</v>
      </c>
      <c r="F245" s="7">
        <v>12063</v>
      </c>
      <c r="G245" s="7">
        <v>16379</v>
      </c>
      <c r="H245" s="7" t="s">
        <v>17</v>
      </c>
    </row>
    <row r="246" spans="1:8">
      <c r="A246" s="7" t="s">
        <v>269</v>
      </c>
      <c r="B246" s="8">
        <v>45534</v>
      </c>
      <c r="C246" s="7" t="s">
        <v>3</v>
      </c>
      <c r="D246" s="7" t="s">
        <v>24</v>
      </c>
      <c r="E246" s="7">
        <v>4</v>
      </c>
      <c r="F246" s="7">
        <v>29482</v>
      </c>
      <c r="G246" s="7">
        <v>10557</v>
      </c>
      <c r="H246" s="7" t="s">
        <v>19</v>
      </c>
    </row>
    <row r="247" spans="1:8">
      <c r="A247" s="7" t="s">
        <v>270</v>
      </c>
      <c r="B247" s="8">
        <v>45535</v>
      </c>
      <c r="C247" s="7" t="s">
        <v>1</v>
      </c>
      <c r="D247" s="7" t="s">
        <v>27</v>
      </c>
      <c r="E247" s="7">
        <v>7</v>
      </c>
      <c r="F247" s="7">
        <v>26037</v>
      </c>
      <c r="G247" s="7">
        <v>32656</v>
      </c>
      <c r="H247" s="7" t="s">
        <v>30</v>
      </c>
    </row>
    <row r="248" spans="1:8">
      <c r="A248" s="7" t="s">
        <v>271</v>
      </c>
      <c r="B248" s="8">
        <v>45538</v>
      </c>
      <c r="C248" s="7" t="s">
        <v>2</v>
      </c>
      <c r="D248" s="7" t="s">
        <v>27</v>
      </c>
      <c r="E248" s="7">
        <v>9</v>
      </c>
      <c r="F248" s="7">
        <v>8467</v>
      </c>
      <c r="G248" s="7">
        <v>1097</v>
      </c>
      <c r="H248" s="7" t="s">
        <v>17</v>
      </c>
    </row>
    <row r="249" spans="1:8">
      <c r="A249" s="7" t="s">
        <v>272</v>
      </c>
      <c r="B249" s="8">
        <v>45543</v>
      </c>
      <c r="C249" s="7" t="s">
        <v>3</v>
      </c>
      <c r="D249" s="7" t="s">
        <v>32</v>
      </c>
      <c r="E249" s="7">
        <v>4</v>
      </c>
      <c r="F249" s="7">
        <v>4154</v>
      </c>
      <c r="G249" s="7">
        <v>1161</v>
      </c>
      <c r="H249" s="7" t="s">
        <v>17</v>
      </c>
    </row>
    <row r="250" spans="1:8">
      <c r="A250" s="7" t="s">
        <v>273</v>
      </c>
      <c r="B250" s="8">
        <v>45543</v>
      </c>
      <c r="C250" s="7" t="s">
        <v>4</v>
      </c>
      <c r="D250" s="7" t="s">
        <v>24</v>
      </c>
      <c r="E250" s="7">
        <v>5</v>
      </c>
      <c r="F250" s="7">
        <v>77166</v>
      </c>
      <c r="G250" s="7">
        <v>38861</v>
      </c>
      <c r="H250" s="7" t="s">
        <v>19</v>
      </c>
    </row>
    <row r="251" spans="1:8">
      <c r="A251" s="7" t="s">
        <v>274</v>
      </c>
      <c r="B251" s="8">
        <v>45543</v>
      </c>
      <c r="C251" s="7" t="s">
        <v>2</v>
      </c>
      <c r="D251" s="7" t="s">
        <v>16</v>
      </c>
      <c r="E251" s="7">
        <v>6</v>
      </c>
      <c r="F251" s="7">
        <v>71484</v>
      </c>
      <c r="G251" s="7">
        <v>11983</v>
      </c>
      <c r="H251" s="7" t="s">
        <v>36</v>
      </c>
    </row>
    <row r="252" spans="1:8">
      <c r="A252" s="7" t="s">
        <v>275</v>
      </c>
      <c r="B252" s="8">
        <v>45543</v>
      </c>
      <c r="C252" s="7" t="s">
        <v>1</v>
      </c>
      <c r="D252" s="7" t="s">
        <v>22</v>
      </c>
      <c r="E252" s="7">
        <v>3</v>
      </c>
      <c r="F252" s="7">
        <v>63146</v>
      </c>
      <c r="G252" s="7">
        <v>3551</v>
      </c>
      <c r="H252" s="7" t="s">
        <v>36</v>
      </c>
    </row>
    <row r="253" spans="1:8">
      <c r="A253" s="7" t="s">
        <v>276</v>
      </c>
      <c r="B253" s="8">
        <v>45544</v>
      </c>
      <c r="C253" s="7" t="s">
        <v>3</v>
      </c>
      <c r="D253" s="7" t="s">
        <v>16</v>
      </c>
      <c r="E253" s="7">
        <v>9</v>
      </c>
      <c r="F253" s="7">
        <v>36821</v>
      </c>
      <c r="G253" s="7">
        <v>23656</v>
      </c>
      <c r="H253" s="7" t="s">
        <v>30</v>
      </c>
    </row>
    <row r="254" spans="1:8">
      <c r="A254" s="7" t="s">
        <v>277</v>
      </c>
      <c r="B254" s="8">
        <v>45544</v>
      </c>
      <c r="C254" s="7" t="s">
        <v>1</v>
      </c>
      <c r="D254" s="7" t="s">
        <v>27</v>
      </c>
      <c r="E254" s="7">
        <v>2</v>
      </c>
      <c r="F254" s="7">
        <v>49645</v>
      </c>
      <c r="G254" s="7">
        <v>11693</v>
      </c>
      <c r="H254" s="7" t="s">
        <v>36</v>
      </c>
    </row>
    <row r="255" spans="1:8">
      <c r="A255" s="7" t="s">
        <v>278</v>
      </c>
      <c r="B255" s="8">
        <v>45545</v>
      </c>
      <c r="C255" s="7" t="s">
        <v>26</v>
      </c>
      <c r="D255" s="7" t="s">
        <v>27</v>
      </c>
      <c r="E255" s="7">
        <v>6</v>
      </c>
      <c r="F255" s="7">
        <v>59853</v>
      </c>
      <c r="G255" s="7">
        <v>23447</v>
      </c>
      <c r="H255" s="7" t="s">
        <v>19</v>
      </c>
    </row>
    <row r="256" spans="1:8">
      <c r="A256" s="7" t="s">
        <v>279</v>
      </c>
      <c r="B256" s="8">
        <v>45545</v>
      </c>
      <c r="C256" s="7" t="s">
        <v>15</v>
      </c>
      <c r="D256" s="7" t="s">
        <v>22</v>
      </c>
      <c r="E256" s="7">
        <v>5</v>
      </c>
      <c r="F256" s="7">
        <v>64541</v>
      </c>
      <c r="G256" s="7">
        <v>21074</v>
      </c>
      <c r="H256" s="7" t="s">
        <v>30</v>
      </c>
    </row>
    <row r="257" spans="1:8">
      <c r="A257" s="7" t="s">
        <v>280</v>
      </c>
      <c r="B257" s="8">
        <v>45546</v>
      </c>
      <c r="C257" s="7" t="s">
        <v>4</v>
      </c>
      <c r="D257" s="7" t="s">
        <v>27</v>
      </c>
      <c r="E257" s="7">
        <v>9</v>
      </c>
      <c r="F257" s="7">
        <v>16956</v>
      </c>
      <c r="G257" s="7">
        <v>43963</v>
      </c>
      <c r="H257" s="7" t="s">
        <v>17</v>
      </c>
    </row>
    <row r="258" spans="1:8">
      <c r="A258" s="7" t="s">
        <v>281</v>
      </c>
      <c r="B258" s="8">
        <v>45546</v>
      </c>
      <c r="C258" s="7" t="s">
        <v>2</v>
      </c>
      <c r="D258" s="7" t="s">
        <v>16</v>
      </c>
      <c r="E258" s="7">
        <v>8</v>
      </c>
      <c r="F258" s="7">
        <v>55599</v>
      </c>
      <c r="G258" s="7">
        <v>9535</v>
      </c>
      <c r="H258" s="7" t="s">
        <v>17</v>
      </c>
    </row>
    <row r="259" spans="1:8">
      <c r="A259" s="7" t="s">
        <v>282</v>
      </c>
      <c r="B259" s="8">
        <v>45547</v>
      </c>
      <c r="C259" s="7" t="s">
        <v>2</v>
      </c>
      <c r="D259" s="7" t="s">
        <v>27</v>
      </c>
      <c r="E259" s="7">
        <v>7</v>
      </c>
      <c r="F259" s="7">
        <v>47304</v>
      </c>
      <c r="G259" s="7">
        <v>37598</v>
      </c>
      <c r="H259" s="7" t="s">
        <v>36</v>
      </c>
    </row>
    <row r="260" spans="1:8">
      <c r="A260" s="7" t="s">
        <v>283</v>
      </c>
      <c r="B260" s="8">
        <v>45548</v>
      </c>
      <c r="C260" s="7" t="s">
        <v>26</v>
      </c>
      <c r="D260" s="7" t="s">
        <v>24</v>
      </c>
      <c r="E260" s="7">
        <v>3</v>
      </c>
      <c r="F260" s="7">
        <v>12823</v>
      </c>
      <c r="G260" s="7">
        <v>30252</v>
      </c>
      <c r="H260" s="7" t="s">
        <v>30</v>
      </c>
    </row>
    <row r="261" spans="1:8">
      <c r="A261" s="7" t="s">
        <v>284</v>
      </c>
      <c r="B261" s="8">
        <v>45549</v>
      </c>
      <c r="C261" s="7" t="s">
        <v>1</v>
      </c>
      <c r="D261" s="7" t="s">
        <v>24</v>
      </c>
      <c r="E261" s="7">
        <v>8</v>
      </c>
      <c r="F261" s="7">
        <v>17587</v>
      </c>
      <c r="G261" s="7">
        <v>9894</v>
      </c>
      <c r="H261" s="7" t="s">
        <v>30</v>
      </c>
    </row>
    <row r="262" spans="1:8">
      <c r="A262" s="7" t="s">
        <v>285</v>
      </c>
      <c r="B262" s="8">
        <v>45550</v>
      </c>
      <c r="C262" s="7" t="s">
        <v>2</v>
      </c>
      <c r="D262" s="7" t="s">
        <v>32</v>
      </c>
      <c r="E262" s="7">
        <v>4</v>
      </c>
      <c r="F262" s="7">
        <v>18573</v>
      </c>
      <c r="G262" s="7">
        <v>49330</v>
      </c>
      <c r="H262" s="7" t="s">
        <v>30</v>
      </c>
    </row>
    <row r="263" spans="1:8">
      <c r="A263" s="7" t="s">
        <v>286</v>
      </c>
      <c r="B263" s="8">
        <v>45550</v>
      </c>
      <c r="C263" s="7" t="s">
        <v>2</v>
      </c>
      <c r="D263" s="7" t="s">
        <v>24</v>
      </c>
      <c r="E263" s="7">
        <v>7</v>
      </c>
      <c r="F263" s="7">
        <v>30294</v>
      </c>
      <c r="G263" s="7">
        <v>6774</v>
      </c>
      <c r="H263" s="7" t="s">
        <v>36</v>
      </c>
    </row>
    <row r="264" spans="1:8">
      <c r="A264" s="7" t="s">
        <v>287</v>
      </c>
      <c r="B264" s="8">
        <v>45551</v>
      </c>
      <c r="C264" s="7" t="s">
        <v>2</v>
      </c>
      <c r="D264" s="7" t="s">
        <v>22</v>
      </c>
      <c r="E264" s="7">
        <v>5</v>
      </c>
      <c r="F264" s="7">
        <v>7651</v>
      </c>
      <c r="G264" s="7">
        <v>34848</v>
      </c>
      <c r="H264" s="7" t="s">
        <v>19</v>
      </c>
    </row>
    <row r="265" spans="1:8">
      <c r="A265" s="7" t="s">
        <v>288</v>
      </c>
      <c r="B265" s="8">
        <v>45552</v>
      </c>
      <c r="C265" s="7" t="s">
        <v>2</v>
      </c>
      <c r="D265" s="7" t="s">
        <v>32</v>
      </c>
      <c r="E265" s="7">
        <v>3</v>
      </c>
      <c r="F265" s="7">
        <v>77731</v>
      </c>
      <c r="G265" s="7">
        <v>31447</v>
      </c>
      <c r="H265" s="7" t="s">
        <v>36</v>
      </c>
    </row>
    <row r="266" spans="1:8">
      <c r="A266" s="7" t="s">
        <v>289</v>
      </c>
      <c r="B266" s="8">
        <v>45554</v>
      </c>
      <c r="C266" s="7" t="s">
        <v>1</v>
      </c>
      <c r="D266" s="7" t="s">
        <v>32</v>
      </c>
      <c r="E266" s="7">
        <v>9</v>
      </c>
      <c r="F266" s="7">
        <v>62449</v>
      </c>
      <c r="G266" s="7">
        <v>30450</v>
      </c>
      <c r="H266" s="7" t="s">
        <v>30</v>
      </c>
    </row>
    <row r="267" spans="1:8">
      <c r="A267" s="7" t="s">
        <v>290</v>
      </c>
      <c r="B267" s="8">
        <v>45555</v>
      </c>
      <c r="C267" s="7" t="s">
        <v>1</v>
      </c>
      <c r="D267" s="7" t="s">
        <v>16</v>
      </c>
      <c r="E267" s="7">
        <v>7</v>
      </c>
      <c r="F267" s="7">
        <v>70467</v>
      </c>
      <c r="G267" s="7">
        <v>43003</v>
      </c>
      <c r="H267" s="7" t="s">
        <v>19</v>
      </c>
    </row>
    <row r="268" spans="1:8">
      <c r="A268" s="7" t="s">
        <v>291</v>
      </c>
      <c r="B268" s="8">
        <v>45555</v>
      </c>
      <c r="C268" s="7" t="s">
        <v>15</v>
      </c>
      <c r="D268" s="7" t="s">
        <v>32</v>
      </c>
      <c r="E268" s="7">
        <v>3</v>
      </c>
      <c r="F268" s="7">
        <v>47741</v>
      </c>
      <c r="G268" s="7">
        <v>47305</v>
      </c>
      <c r="H268" s="7" t="s">
        <v>36</v>
      </c>
    </row>
    <row r="269" spans="1:8">
      <c r="A269" s="7" t="s">
        <v>292</v>
      </c>
      <c r="B269" s="8">
        <v>45556</v>
      </c>
      <c r="C269" s="7" t="s">
        <v>15</v>
      </c>
      <c r="D269" s="7" t="s">
        <v>22</v>
      </c>
      <c r="E269" s="7">
        <v>2</v>
      </c>
      <c r="F269" s="7">
        <v>47319</v>
      </c>
      <c r="G269" s="7">
        <v>37751</v>
      </c>
      <c r="H269" s="7" t="s">
        <v>19</v>
      </c>
    </row>
    <row r="270" spans="1:8">
      <c r="A270" s="7" t="s">
        <v>293</v>
      </c>
      <c r="B270" s="8">
        <v>45558</v>
      </c>
      <c r="C270" s="7" t="s">
        <v>26</v>
      </c>
      <c r="D270" s="7" t="s">
        <v>32</v>
      </c>
      <c r="E270" s="7">
        <v>7</v>
      </c>
      <c r="F270" s="7">
        <v>32871</v>
      </c>
      <c r="G270" s="7">
        <v>42971</v>
      </c>
      <c r="H270" s="7" t="s">
        <v>36</v>
      </c>
    </row>
    <row r="271" spans="1:8">
      <c r="A271" s="7" t="s">
        <v>294</v>
      </c>
      <c r="B271" s="8">
        <v>45559</v>
      </c>
      <c r="C271" s="7" t="s">
        <v>4</v>
      </c>
      <c r="D271" s="7" t="s">
        <v>16</v>
      </c>
      <c r="E271" s="7">
        <v>8</v>
      </c>
      <c r="F271" s="7">
        <v>27713</v>
      </c>
      <c r="G271" s="7">
        <v>4471</v>
      </c>
      <c r="H271" s="7" t="s">
        <v>17</v>
      </c>
    </row>
    <row r="272" spans="1:8">
      <c r="A272" s="7" t="s">
        <v>295</v>
      </c>
      <c r="B272" s="8">
        <v>45559</v>
      </c>
      <c r="C272" s="7" t="s">
        <v>4</v>
      </c>
      <c r="D272" s="7" t="s">
        <v>16</v>
      </c>
      <c r="E272" s="7">
        <v>2</v>
      </c>
      <c r="F272" s="7">
        <v>21109</v>
      </c>
      <c r="G272" s="7">
        <v>30300</v>
      </c>
      <c r="H272" s="7" t="s">
        <v>17</v>
      </c>
    </row>
    <row r="273" spans="1:8">
      <c r="A273" s="7" t="s">
        <v>296</v>
      </c>
      <c r="B273" s="8">
        <v>45561</v>
      </c>
      <c r="C273" s="7" t="s">
        <v>2</v>
      </c>
      <c r="D273" s="7" t="s">
        <v>16</v>
      </c>
      <c r="E273" s="7">
        <v>8</v>
      </c>
      <c r="F273" s="7">
        <v>44096</v>
      </c>
      <c r="G273" s="7">
        <v>24225</v>
      </c>
      <c r="H273" s="7" t="s">
        <v>36</v>
      </c>
    </row>
    <row r="274" spans="1:8">
      <c r="A274" s="7" t="s">
        <v>297</v>
      </c>
      <c r="B274" s="8">
        <v>45562</v>
      </c>
      <c r="C274" s="7" t="s">
        <v>4</v>
      </c>
      <c r="D274" s="7" t="s">
        <v>27</v>
      </c>
      <c r="E274" s="7">
        <v>3</v>
      </c>
      <c r="F274" s="7">
        <v>29125</v>
      </c>
      <c r="G274" s="7">
        <v>29444</v>
      </c>
      <c r="H274" s="7" t="s">
        <v>36</v>
      </c>
    </row>
    <row r="275" spans="1:8">
      <c r="A275" s="7" t="s">
        <v>298</v>
      </c>
      <c r="B275" s="8">
        <v>45562</v>
      </c>
      <c r="C275" s="7" t="s">
        <v>3</v>
      </c>
      <c r="D275" s="7" t="s">
        <v>24</v>
      </c>
      <c r="E275" s="7">
        <v>7</v>
      </c>
      <c r="F275" s="7">
        <v>78214</v>
      </c>
      <c r="G275" s="7">
        <v>4081</v>
      </c>
      <c r="H275" s="7" t="s">
        <v>19</v>
      </c>
    </row>
    <row r="276" spans="1:8">
      <c r="A276" s="7" t="s">
        <v>299</v>
      </c>
      <c r="B276" s="8">
        <v>45562</v>
      </c>
      <c r="C276" s="7" t="s">
        <v>2</v>
      </c>
      <c r="D276" s="7" t="s">
        <v>24</v>
      </c>
      <c r="E276" s="7">
        <v>7</v>
      </c>
      <c r="F276" s="7">
        <v>49213</v>
      </c>
      <c r="G276" s="7">
        <v>28523</v>
      </c>
      <c r="H276" s="7" t="s">
        <v>36</v>
      </c>
    </row>
    <row r="277" spans="1:8">
      <c r="A277" s="7" t="s">
        <v>300</v>
      </c>
      <c r="B277" s="8">
        <v>45565</v>
      </c>
      <c r="C277" s="7" t="s">
        <v>2</v>
      </c>
      <c r="D277" s="7" t="s">
        <v>16</v>
      </c>
      <c r="E277" s="7">
        <v>1</v>
      </c>
      <c r="F277" s="7">
        <v>33279</v>
      </c>
      <c r="G277" s="7">
        <v>27832</v>
      </c>
      <c r="H277" s="7" t="s">
        <v>17</v>
      </c>
    </row>
    <row r="278" spans="1:8">
      <c r="A278" s="7" t="s">
        <v>301</v>
      </c>
      <c r="B278" s="8">
        <v>45568</v>
      </c>
      <c r="C278" s="7" t="s">
        <v>4</v>
      </c>
      <c r="D278" s="7" t="s">
        <v>22</v>
      </c>
      <c r="E278" s="7">
        <v>5</v>
      </c>
      <c r="F278" s="7">
        <v>26423</v>
      </c>
      <c r="G278" s="7">
        <v>37068</v>
      </c>
      <c r="H278" s="7" t="s">
        <v>17</v>
      </c>
    </row>
    <row r="279" spans="1:8">
      <c r="A279" s="7" t="s">
        <v>302</v>
      </c>
      <c r="B279" s="8">
        <v>45568</v>
      </c>
      <c r="C279" s="7" t="s">
        <v>15</v>
      </c>
      <c r="D279" s="7" t="s">
        <v>16</v>
      </c>
      <c r="E279" s="7">
        <v>5</v>
      </c>
      <c r="F279" s="7">
        <v>48184</v>
      </c>
      <c r="G279" s="7">
        <v>10752</v>
      </c>
      <c r="H279" s="7" t="s">
        <v>17</v>
      </c>
    </row>
    <row r="280" spans="1:8">
      <c r="A280" s="7" t="s">
        <v>303</v>
      </c>
      <c r="B280" s="8">
        <v>45568</v>
      </c>
      <c r="C280" s="7" t="s">
        <v>4</v>
      </c>
      <c r="D280" s="7" t="s">
        <v>27</v>
      </c>
      <c r="E280" s="7">
        <v>5</v>
      </c>
      <c r="F280" s="7">
        <v>39779</v>
      </c>
      <c r="G280" s="7">
        <v>13763</v>
      </c>
      <c r="H280" s="7" t="s">
        <v>17</v>
      </c>
    </row>
    <row r="281" spans="1:8">
      <c r="A281" s="7" t="s">
        <v>304</v>
      </c>
      <c r="B281" s="8">
        <v>45571</v>
      </c>
      <c r="C281" s="7" t="s">
        <v>3</v>
      </c>
      <c r="D281" s="7" t="s">
        <v>27</v>
      </c>
      <c r="E281" s="7">
        <v>8</v>
      </c>
      <c r="F281" s="7">
        <v>71531</v>
      </c>
      <c r="G281" s="7">
        <v>43092</v>
      </c>
      <c r="H281" s="7" t="s">
        <v>19</v>
      </c>
    </row>
    <row r="282" spans="1:8">
      <c r="A282" s="7" t="s">
        <v>305</v>
      </c>
      <c r="B282" s="8">
        <v>45571</v>
      </c>
      <c r="C282" s="7" t="s">
        <v>15</v>
      </c>
      <c r="D282" s="7" t="s">
        <v>24</v>
      </c>
      <c r="E282" s="7">
        <v>1</v>
      </c>
      <c r="F282" s="7">
        <v>78713</v>
      </c>
      <c r="G282" s="7">
        <v>31651</v>
      </c>
      <c r="H282" s="7" t="s">
        <v>19</v>
      </c>
    </row>
    <row r="283" spans="1:8">
      <c r="A283" s="7" t="s">
        <v>306</v>
      </c>
      <c r="B283" s="8">
        <v>45571</v>
      </c>
      <c r="C283" s="7" t="s">
        <v>4</v>
      </c>
      <c r="D283" s="7" t="s">
        <v>27</v>
      </c>
      <c r="E283" s="7">
        <v>5</v>
      </c>
      <c r="F283" s="7">
        <v>58366</v>
      </c>
      <c r="G283" s="7">
        <v>33602</v>
      </c>
      <c r="H283" s="7" t="s">
        <v>36</v>
      </c>
    </row>
    <row r="284" spans="1:8">
      <c r="A284" s="7" t="s">
        <v>307</v>
      </c>
      <c r="B284" s="8">
        <v>45571</v>
      </c>
      <c r="C284" s="7" t="s">
        <v>2</v>
      </c>
      <c r="D284" s="7" t="s">
        <v>16</v>
      </c>
      <c r="E284" s="7">
        <v>8</v>
      </c>
      <c r="F284" s="7">
        <v>28544</v>
      </c>
      <c r="G284" s="7">
        <v>9179</v>
      </c>
      <c r="H284" s="7" t="s">
        <v>19</v>
      </c>
    </row>
    <row r="285" spans="1:8">
      <c r="A285" s="7" t="s">
        <v>308</v>
      </c>
      <c r="B285" s="8">
        <v>45572</v>
      </c>
      <c r="C285" s="7" t="s">
        <v>15</v>
      </c>
      <c r="D285" s="7" t="s">
        <v>16</v>
      </c>
      <c r="E285" s="7">
        <v>4</v>
      </c>
      <c r="F285" s="7">
        <v>78294</v>
      </c>
      <c r="G285" s="7">
        <v>34209</v>
      </c>
      <c r="H285" s="7" t="s">
        <v>19</v>
      </c>
    </row>
    <row r="286" spans="1:8">
      <c r="A286" s="7" t="s">
        <v>309</v>
      </c>
      <c r="B286" s="8">
        <v>45574</v>
      </c>
      <c r="C286" s="7" t="s">
        <v>2</v>
      </c>
      <c r="D286" s="7" t="s">
        <v>32</v>
      </c>
      <c r="E286" s="7">
        <v>4</v>
      </c>
      <c r="F286" s="7">
        <v>10606</v>
      </c>
      <c r="G286" s="7">
        <v>26279</v>
      </c>
      <c r="H286" s="7" t="s">
        <v>36</v>
      </c>
    </row>
    <row r="287" spans="1:8">
      <c r="A287" s="7" t="s">
        <v>310</v>
      </c>
      <c r="B287" s="8">
        <v>45574</v>
      </c>
      <c r="C287" s="7" t="s">
        <v>1</v>
      </c>
      <c r="D287" s="7" t="s">
        <v>32</v>
      </c>
      <c r="E287" s="7">
        <v>3</v>
      </c>
      <c r="F287" s="7">
        <v>36085</v>
      </c>
      <c r="G287" s="7">
        <v>37768</v>
      </c>
      <c r="H287" s="7" t="s">
        <v>19</v>
      </c>
    </row>
    <row r="288" spans="1:8">
      <c r="A288" s="7" t="s">
        <v>311</v>
      </c>
      <c r="B288" s="8">
        <v>45574</v>
      </c>
      <c r="C288" s="7" t="s">
        <v>4</v>
      </c>
      <c r="D288" s="7" t="s">
        <v>24</v>
      </c>
      <c r="E288" s="7">
        <v>6</v>
      </c>
      <c r="F288" s="7">
        <v>43033</v>
      </c>
      <c r="G288" s="7">
        <v>47037</v>
      </c>
      <c r="H288" s="7" t="s">
        <v>17</v>
      </c>
    </row>
    <row r="289" spans="1:8">
      <c r="A289" s="7" t="s">
        <v>312</v>
      </c>
      <c r="B289" s="8">
        <v>45575</v>
      </c>
      <c r="C289" s="7" t="s">
        <v>15</v>
      </c>
      <c r="D289" s="7" t="s">
        <v>27</v>
      </c>
      <c r="E289" s="7">
        <v>2</v>
      </c>
      <c r="F289" s="7">
        <v>69119</v>
      </c>
      <c r="G289" s="7">
        <v>38766</v>
      </c>
      <c r="H289" s="7" t="s">
        <v>19</v>
      </c>
    </row>
    <row r="290" spans="1:8">
      <c r="A290" s="7" t="s">
        <v>313</v>
      </c>
      <c r="B290" s="8">
        <v>45575</v>
      </c>
      <c r="C290" s="7" t="s">
        <v>1</v>
      </c>
      <c r="D290" s="7" t="s">
        <v>22</v>
      </c>
      <c r="E290" s="7">
        <v>6</v>
      </c>
      <c r="F290" s="7">
        <v>56422</v>
      </c>
      <c r="G290" s="7">
        <v>29047</v>
      </c>
      <c r="H290" s="7" t="s">
        <v>17</v>
      </c>
    </row>
    <row r="291" spans="1:8">
      <c r="A291" s="7" t="s">
        <v>314</v>
      </c>
      <c r="B291" s="8">
        <v>45575</v>
      </c>
      <c r="C291" s="7" t="s">
        <v>3</v>
      </c>
      <c r="D291" s="7" t="s">
        <v>22</v>
      </c>
      <c r="E291" s="7">
        <v>1</v>
      </c>
      <c r="F291" s="7">
        <v>61563</v>
      </c>
      <c r="G291" s="7">
        <v>37116</v>
      </c>
      <c r="H291" s="7" t="s">
        <v>30</v>
      </c>
    </row>
    <row r="292" spans="1:8">
      <c r="A292" s="7" t="s">
        <v>315</v>
      </c>
      <c r="B292" s="8">
        <v>45577</v>
      </c>
      <c r="C292" s="7" t="s">
        <v>15</v>
      </c>
      <c r="D292" s="7" t="s">
        <v>32</v>
      </c>
      <c r="E292" s="7">
        <v>3</v>
      </c>
      <c r="F292" s="7">
        <v>19252</v>
      </c>
      <c r="G292" s="7">
        <v>42800</v>
      </c>
      <c r="H292" s="7" t="s">
        <v>19</v>
      </c>
    </row>
    <row r="293" spans="1:8">
      <c r="A293" s="7" t="s">
        <v>316</v>
      </c>
      <c r="B293" s="8">
        <v>45577</v>
      </c>
      <c r="C293" s="7" t="s">
        <v>4</v>
      </c>
      <c r="D293" s="7" t="s">
        <v>16</v>
      </c>
      <c r="E293" s="7">
        <v>4</v>
      </c>
      <c r="F293" s="7">
        <v>24388</v>
      </c>
      <c r="G293" s="7">
        <v>42945</v>
      </c>
      <c r="H293" s="7" t="s">
        <v>36</v>
      </c>
    </row>
    <row r="294" spans="1:8">
      <c r="A294" s="7" t="s">
        <v>317</v>
      </c>
      <c r="B294" s="8">
        <v>45579</v>
      </c>
      <c r="C294" s="7" t="s">
        <v>2</v>
      </c>
      <c r="D294" s="7" t="s">
        <v>27</v>
      </c>
      <c r="E294" s="7">
        <v>5</v>
      </c>
      <c r="F294" s="7">
        <v>24411</v>
      </c>
      <c r="G294" s="7">
        <v>17843</v>
      </c>
      <c r="H294" s="7" t="s">
        <v>17</v>
      </c>
    </row>
    <row r="295" spans="1:8">
      <c r="A295" s="7" t="s">
        <v>318</v>
      </c>
      <c r="B295" s="8">
        <v>45580</v>
      </c>
      <c r="C295" s="7" t="s">
        <v>15</v>
      </c>
      <c r="D295" s="7" t="s">
        <v>24</v>
      </c>
      <c r="E295" s="7">
        <v>3</v>
      </c>
      <c r="F295" s="7">
        <v>49604</v>
      </c>
      <c r="G295" s="7">
        <v>46253</v>
      </c>
      <c r="H295" s="7" t="s">
        <v>19</v>
      </c>
    </row>
    <row r="296" spans="1:8">
      <c r="A296" s="7" t="s">
        <v>319</v>
      </c>
      <c r="B296" s="8">
        <v>45580</v>
      </c>
      <c r="C296" s="7" t="s">
        <v>3</v>
      </c>
      <c r="D296" s="7" t="s">
        <v>27</v>
      </c>
      <c r="E296" s="7">
        <v>2</v>
      </c>
      <c r="F296" s="7">
        <v>25931</v>
      </c>
      <c r="G296" s="7">
        <v>17154</v>
      </c>
      <c r="H296" s="7" t="s">
        <v>17</v>
      </c>
    </row>
    <row r="297" spans="1:8">
      <c r="A297" s="7" t="s">
        <v>320</v>
      </c>
      <c r="B297" s="8">
        <v>45584</v>
      </c>
      <c r="C297" s="7" t="s">
        <v>4</v>
      </c>
      <c r="D297" s="7" t="s">
        <v>16</v>
      </c>
      <c r="E297" s="7">
        <v>5</v>
      </c>
      <c r="F297" s="7">
        <v>32410</v>
      </c>
      <c r="G297" s="7">
        <v>29272</v>
      </c>
      <c r="H297" s="7" t="s">
        <v>17</v>
      </c>
    </row>
    <row r="298" spans="1:8">
      <c r="A298" s="7" t="s">
        <v>321</v>
      </c>
      <c r="B298" s="8">
        <v>45585</v>
      </c>
      <c r="C298" s="7" t="s">
        <v>1</v>
      </c>
      <c r="D298" s="7" t="s">
        <v>32</v>
      </c>
      <c r="E298" s="7">
        <v>9</v>
      </c>
      <c r="F298" s="7">
        <v>72960</v>
      </c>
      <c r="G298" s="7">
        <v>30725</v>
      </c>
      <c r="H298" s="7" t="s">
        <v>30</v>
      </c>
    </row>
    <row r="299" spans="1:8">
      <c r="A299" s="7" t="s">
        <v>322</v>
      </c>
      <c r="B299" s="8">
        <v>45585</v>
      </c>
      <c r="C299" s="7" t="s">
        <v>15</v>
      </c>
      <c r="D299" s="7" t="s">
        <v>32</v>
      </c>
      <c r="E299" s="7">
        <v>9</v>
      </c>
      <c r="F299" s="7">
        <v>35762</v>
      </c>
      <c r="G299" s="7">
        <v>25487</v>
      </c>
      <c r="H299" s="7" t="s">
        <v>19</v>
      </c>
    </row>
    <row r="300" spans="1:8">
      <c r="A300" s="7" t="s">
        <v>323</v>
      </c>
      <c r="B300" s="8">
        <v>45586</v>
      </c>
      <c r="C300" s="7" t="s">
        <v>4</v>
      </c>
      <c r="D300" s="7" t="s">
        <v>27</v>
      </c>
      <c r="E300" s="7">
        <v>4</v>
      </c>
      <c r="F300" s="7">
        <v>52630</v>
      </c>
      <c r="G300" s="7">
        <v>25259</v>
      </c>
      <c r="H300" s="7" t="s">
        <v>19</v>
      </c>
    </row>
    <row r="301" spans="1:8">
      <c r="A301" s="7" t="s">
        <v>324</v>
      </c>
      <c r="B301" s="8">
        <v>45587</v>
      </c>
      <c r="C301" s="7" t="s">
        <v>2</v>
      </c>
      <c r="D301" s="7" t="s">
        <v>32</v>
      </c>
      <c r="E301" s="7">
        <v>5</v>
      </c>
      <c r="F301" s="7">
        <v>48868</v>
      </c>
      <c r="G301" s="7">
        <v>15226</v>
      </c>
      <c r="H301" s="7" t="s">
        <v>36</v>
      </c>
    </row>
    <row r="302" spans="1:8">
      <c r="A302" s="7" t="s">
        <v>325</v>
      </c>
      <c r="B302" s="8">
        <v>45589</v>
      </c>
      <c r="C302" s="7" t="s">
        <v>2</v>
      </c>
      <c r="D302" s="7" t="s">
        <v>32</v>
      </c>
      <c r="E302" s="7">
        <v>6</v>
      </c>
      <c r="F302" s="7">
        <v>76873</v>
      </c>
      <c r="G302" s="7">
        <v>33658</v>
      </c>
      <c r="H302" s="7" t="s">
        <v>30</v>
      </c>
    </row>
    <row r="303" spans="1:8">
      <c r="A303" s="7" t="s">
        <v>326</v>
      </c>
      <c r="B303" s="8">
        <v>45592</v>
      </c>
      <c r="C303" s="7" t="s">
        <v>4</v>
      </c>
      <c r="D303" s="7" t="s">
        <v>16</v>
      </c>
      <c r="E303" s="7">
        <v>1</v>
      </c>
      <c r="F303" s="7">
        <v>76653</v>
      </c>
      <c r="G303" s="7">
        <v>6469</v>
      </c>
      <c r="H303" s="7" t="s">
        <v>30</v>
      </c>
    </row>
    <row r="304" spans="1:8">
      <c r="A304" s="7" t="s">
        <v>327</v>
      </c>
      <c r="B304" s="8">
        <v>45593</v>
      </c>
      <c r="C304" s="7" t="s">
        <v>3</v>
      </c>
      <c r="D304" s="7" t="s">
        <v>27</v>
      </c>
      <c r="E304" s="7">
        <v>1</v>
      </c>
      <c r="F304" s="7">
        <v>58779</v>
      </c>
      <c r="G304" s="7">
        <v>28516</v>
      </c>
      <c r="H304" s="7" t="s">
        <v>30</v>
      </c>
    </row>
    <row r="305" spans="1:8">
      <c r="A305" s="7" t="s">
        <v>328</v>
      </c>
      <c r="B305" s="8">
        <v>45595</v>
      </c>
      <c r="C305" s="7" t="s">
        <v>1</v>
      </c>
      <c r="D305" s="7" t="s">
        <v>27</v>
      </c>
      <c r="E305" s="7">
        <v>9</v>
      </c>
      <c r="F305" s="7">
        <v>44639</v>
      </c>
      <c r="G305" s="7">
        <v>7643</v>
      </c>
      <c r="H305" s="7" t="s">
        <v>17</v>
      </c>
    </row>
    <row r="306" spans="1:8">
      <c r="A306" s="7" t="s">
        <v>329</v>
      </c>
      <c r="B306" s="8">
        <v>45595</v>
      </c>
      <c r="C306" s="7" t="s">
        <v>1</v>
      </c>
      <c r="D306" s="7" t="s">
        <v>27</v>
      </c>
      <c r="E306" s="7">
        <v>2</v>
      </c>
      <c r="F306" s="7">
        <v>23240</v>
      </c>
      <c r="G306" s="7">
        <v>41846</v>
      </c>
      <c r="H306" s="7" t="s">
        <v>17</v>
      </c>
    </row>
    <row r="307" spans="1:8">
      <c r="A307" s="7" t="s">
        <v>330</v>
      </c>
      <c r="B307" s="8">
        <v>45595</v>
      </c>
      <c r="C307" s="7" t="s">
        <v>2</v>
      </c>
      <c r="D307" s="7" t="s">
        <v>24</v>
      </c>
      <c r="E307" s="7">
        <v>3</v>
      </c>
      <c r="F307" s="7">
        <v>70831</v>
      </c>
      <c r="G307" s="7">
        <v>15721</v>
      </c>
      <c r="H307" s="7" t="s">
        <v>19</v>
      </c>
    </row>
    <row r="308" spans="1:8">
      <c r="A308" s="7" t="s">
        <v>331</v>
      </c>
      <c r="B308" s="8">
        <v>45595</v>
      </c>
      <c r="C308" s="7" t="s">
        <v>2</v>
      </c>
      <c r="D308" s="7" t="s">
        <v>22</v>
      </c>
      <c r="E308" s="7">
        <v>5</v>
      </c>
      <c r="F308" s="7">
        <v>30611</v>
      </c>
      <c r="G308" s="7">
        <v>44360</v>
      </c>
      <c r="H308" s="7" t="s">
        <v>19</v>
      </c>
    </row>
    <row r="309" spans="1:8">
      <c r="A309" s="7" t="s">
        <v>332</v>
      </c>
      <c r="B309" s="8">
        <v>45595</v>
      </c>
      <c r="C309" s="7" t="s">
        <v>3</v>
      </c>
      <c r="D309" s="7" t="s">
        <v>24</v>
      </c>
      <c r="E309" s="7">
        <v>5</v>
      </c>
      <c r="F309" s="7">
        <v>26689</v>
      </c>
      <c r="G309" s="7">
        <v>19099</v>
      </c>
      <c r="H309" s="7" t="s">
        <v>36</v>
      </c>
    </row>
    <row r="310" spans="1:8">
      <c r="A310" s="7" t="s">
        <v>333</v>
      </c>
      <c r="B310" s="8">
        <v>45598</v>
      </c>
      <c r="C310" s="7" t="s">
        <v>2</v>
      </c>
      <c r="D310" s="7" t="s">
        <v>24</v>
      </c>
      <c r="E310" s="7">
        <v>1</v>
      </c>
      <c r="F310" s="7">
        <v>36131</v>
      </c>
      <c r="G310" s="7">
        <v>48701</v>
      </c>
      <c r="H310" s="7" t="s">
        <v>17</v>
      </c>
    </row>
    <row r="311" spans="1:8">
      <c r="A311" s="7" t="s">
        <v>334</v>
      </c>
      <c r="B311" s="8">
        <v>45598</v>
      </c>
      <c r="C311" s="7" t="s">
        <v>26</v>
      </c>
      <c r="D311" s="7" t="s">
        <v>16</v>
      </c>
      <c r="E311" s="7">
        <v>3</v>
      </c>
      <c r="F311" s="7">
        <v>12829</v>
      </c>
      <c r="G311" s="7">
        <v>23669</v>
      </c>
      <c r="H311" s="7" t="s">
        <v>36</v>
      </c>
    </row>
    <row r="312" spans="1:8">
      <c r="A312" s="7" t="s">
        <v>335</v>
      </c>
      <c r="B312" s="8">
        <v>45599</v>
      </c>
      <c r="C312" s="7" t="s">
        <v>15</v>
      </c>
      <c r="D312" s="7" t="s">
        <v>22</v>
      </c>
      <c r="E312" s="7">
        <v>6</v>
      </c>
      <c r="F312" s="7">
        <v>43608</v>
      </c>
      <c r="G312" s="7">
        <v>30118</v>
      </c>
      <c r="H312" s="7" t="s">
        <v>30</v>
      </c>
    </row>
    <row r="313" spans="1:8">
      <c r="A313" s="7" t="s">
        <v>336</v>
      </c>
      <c r="B313" s="8">
        <v>45600</v>
      </c>
      <c r="C313" s="7" t="s">
        <v>2</v>
      </c>
      <c r="D313" s="7" t="s">
        <v>24</v>
      </c>
      <c r="E313" s="7">
        <v>6</v>
      </c>
      <c r="F313" s="7">
        <v>70069</v>
      </c>
      <c r="G313" s="7">
        <v>9706</v>
      </c>
      <c r="H313" s="7" t="s">
        <v>30</v>
      </c>
    </row>
    <row r="314" spans="1:8">
      <c r="A314" s="7" t="s">
        <v>337</v>
      </c>
      <c r="B314" s="8">
        <v>45601</v>
      </c>
      <c r="C314" s="7" t="s">
        <v>2</v>
      </c>
      <c r="D314" s="7" t="s">
        <v>27</v>
      </c>
      <c r="E314" s="7">
        <v>9</v>
      </c>
      <c r="F314" s="7">
        <v>58216</v>
      </c>
      <c r="G314" s="7">
        <v>38804</v>
      </c>
      <c r="H314" s="7" t="s">
        <v>19</v>
      </c>
    </row>
    <row r="315" spans="1:8">
      <c r="A315" s="7" t="s">
        <v>338</v>
      </c>
      <c r="B315" s="8">
        <v>45601</v>
      </c>
      <c r="C315" s="7" t="s">
        <v>15</v>
      </c>
      <c r="D315" s="7" t="s">
        <v>32</v>
      </c>
      <c r="E315" s="7">
        <v>2</v>
      </c>
      <c r="F315" s="7">
        <v>29171</v>
      </c>
      <c r="G315" s="7">
        <v>43870</v>
      </c>
      <c r="H315" s="7" t="s">
        <v>19</v>
      </c>
    </row>
    <row r="316" spans="1:8">
      <c r="A316" s="7" t="s">
        <v>339</v>
      </c>
      <c r="B316" s="8">
        <v>45605</v>
      </c>
      <c r="C316" s="7" t="s">
        <v>15</v>
      </c>
      <c r="D316" s="7" t="s">
        <v>16</v>
      </c>
      <c r="E316" s="7">
        <v>5</v>
      </c>
      <c r="F316" s="7">
        <v>4614</v>
      </c>
      <c r="G316" s="7">
        <v>42321</v>
      </c>
      <c r="H316" s="7" t="s">
        <v>36</v>
      </c>
    </row>
    <row r="317" spans="1:8">
      <c r="A317" s="7" t="s">
        <v>340</v>
      </c>
      <c r="B317" s="8">
        <v>45606</v>
      </c>
      <c r="C317" s="7" t="s">
        <v>4</v>
      </c>
      <c r="D317" s="7" t="s">
        <v>32</v>
      </c>
      <c r="E317" s="7">
        <v>6</v>
      </c>
      <c r="F317" s="7">
        <v>45533</v>
      </c>
      <c r="G317" s="7">
        <v>35521</v>
      </c>
      <c r="H317" s="7" t="s">
        <v>36</v>
      </c>
    </row>
    <row r="318" spans="1:8">
      <c r="A318" s="7" t="s">
        <v>341</v>
      </c>
      <c r="B318" s="8">
        <v>45607</v>
      </c>
      <c r="C318" s="7" t="s">
        <v>4</v>
      </c>
      <c r="D318" s="7" t="s">
        <v>22</v>
      </c>
      <c r="E318" s="7">
        <v>3</v>
      </c>
      <c r="F318" s="7">
        <v>12056</v>
      </c>
      <c r="G318" s="7">
        <v>41372</v>
      </c>
      <c r="H318" s="7" t="s">
        <v>19</v>
      </c>
    </row>
    <row r="319" spans="1:8">
      <c r="A319" s="7" t="s">
        <v>342</v>
      </c>
      <c r="B319" s="8">
        <v>45608</v>
      </c>
      <c r="C319" s="7" t="s">
        <v>15</v>
      </c>
      <c r="D319" s="7" t="s">
        <v>22</v>
      </c>
      <c r="E319" s="7">
        <v>5</v>
      </c>
      <c r="F319" s="7">
        <v>7479</v>
      </c>
      <c r="G319" s="7">
        <v>26556</v>
      </c>
      <c r="H319" s="7" t="s">
        <v>19</v>
      </c>
    </row>
    <row r="320" spans="1:8">
      <c r="A320" s="7" t="s">
        <v>343</v>
      </c>
      <c r="B320" s="8">
        <v>45609</v>
      </c>
      <c r="C320" s="7" t="s">
        <v>2</v>
      </c>
      <c r="D320" s="7" t="s">
        <v>22</v>
      </c>
      <c r="E320" s="7">
        <v>5</v>
      </c>
      <c r="F320" s="7">
        <v>71471</v>
      </c>
      <c r="G320" s="7">
        <v>3539</v>
      </c>
      <c r="H320" s="7" t="s">
        <v>19</v>
      </c>
    </row>
    <row r="321" spans="1:8">
      <c r="A321" s="7" t="s">
        <v>344</v>
      </c>
      <c r="B321" s="8">
        <v>45609</v>
      </c>
      <c r="C321" s="7" t="s">
        <v>4</v>
      </c>
      <c r="D321" s="7" t="s">
        <v>22</v>
      </c>
      <c r="E321" s="7">
        <v>9</v>
      </c>
      <c r="F321" s="7">
        <v>78722</v>
      </c>
      <c r="G321" s="7">
        <v>7588</v>
      </c>
      <c r="H321" s="7" t="s">
        <v>17</v>
      </c>
    </row>
    <row r="322" spans="1:8">
      <c r="A322" s="7" t="s">
        <v>345</v>
      </c>
      <c r="B322" s="8">
        <v>45611</v>
      </c>
      <c r="C322" s="7" t="s">
        <v>2</v>
      </c>
      <c r="D322" s="7" t="s">
        <v>27</v>
      </c>
      <c r="E322" s="7">
        <v>7</v>
      </c>
      <c r="F322" s="7">
        <v>78076</v>
      </c>
      <c r="G322" s="7">
        <v>3159</v>
      </c>
      <c r="H322" s="7" t="s">
        <v>17</v>
      </c>
    </row>
    <row r="323" spans="1:8">
      <c r="A323" s="7" t="s">
        <v>346</v>
      </c>
      <c r="B323" s="8">
        <v>45614</v>
      </c>
      <c r="C323" s="7" t="s">
        <v>2</v>
      </c>
      <c r="D323" s="7" t="s">
        <v>24</v>
      </c>
      <c r="E323" s="7">
        <v>6</v>
      </c>
      <c r="F323" s="7">
        <v>77471</v>
      </c>
      <c r="G323" s="7">
        <v>42814</v>
      </c>
      <c r="H323" s="7" t="s">
        <v>17</v>
      </c>
    </row>
    <row r="324" spans="1:8">
      <c r="A324" s="7" t="s">
        <v>347</v>
      </c>
      <c r="B324" s="8">
        <v>45614</v>
      </c>
      <c r="C324" s="7" t="s">
        <v>2</v>
      </c>
      <c r="D324" s="7" t="s">
        <v>16</v>
      </c>
      <c r="E324" s="7">
        <v>5</v>
      </c>
      <c r="F324" s="7">
        <v>50908</v>
      </c>
      <c r="G324" s="7">
        <v>10528</v>
      </c>
      <c r="H324" s="7" t="s">
        <v>30</v>
      </c>
    </row>
    <row r="325" spans="1:8">
      <c r="A325" s="7" t="s">
        <v>348</v>
      </c>
      <c r="B325" s="8">
        <v>45615</v>
      </c>
      <c r="C325" s="7" t="s">
        <v>4</v>
      </c>
      <c r="D325" s="7" t="s">
        <v>16</v>
      </c>
      <c r="E325" s="7">
        <v>1</v>
      </c>
      <c r="F325" s="7">
        <v>12371</v>
      </c>
      <c r="G325" s="7">
        <v>12407</v>
      </c>
      <c r="H325" s="7" t="s">
        <v>36</v>
      </c>
    </row>
    <row r="326" spans="1:8">
      <c r="A326" s="7" t="s">
        <v>349</v>
      </c>
      <c r="B326" s="8">
        <v>45616</v>
      </c>
      <c r="C326" s="7" t="s">
        <v>26</v>
      </c>
      <c r="D326" s="7" t="s">
        <v>16</v>
      </c>
      <c r="E326" s="7">
        <v>9</v>
      </c>
      <c r="F326" s="7">
        <v>18768</v>
      </c>
      <c r="G326" s="7">
        <v>5666</v>
      </c>
      <c r="H326" s="7" t="s">
        <v>17</v>
      </c>
    </row>
    <row r="327" spans="1:8">
      <c r="A327" s="7" t="s">
        <v>350</v>
      </c>
      <c r="B327" s="8">
        <v>45617</v>
      </c>
      <c r="C327" s="7" t="s">
        <v>4</v>
      </c>
      <c r="D327" s="7" t="s">
        <v>16</v>
      </c>
      <c r="E327" s="7">
        <v>1</v>
      </c>
      <c r="F327" s="7">
        <v>38346</v>
      </c>
      <c r="G327" s="7">
        <v>31573</v>
      </c>
      <c r="H327" s="7" t="s">
        <v>30</v>
      </c>
    </row>
    <row r="328" spans="1:8">
      <c r="A328" s="7" t="s">
        <v>351</v>
      </c>
      <c r="B328" s="8">
        <v>45618</v>
      </c>
      <c r="C328" s="7" t="s">
        <v>4</v>
      </c>
      <c r="D328" s="7" t="s">
        <v>22</v>
      </c>
      <c r="E328" s="7">
        <v>2</v>
      </c>
      <c r="F328" s="7">
        <v>72331</v>
      </c>
      <c r="G328" s="7">
        <v>11720</v>
      </c>
      <c r="H328" s="7" t="s">
        <v>17</v>
      </c>
    </row>
    <row r="329" spans="1:8">
      <c r="A329" s="7" t="s">
        <v>352</v>
      </c>
      <c r="B329" s="8">
        <v>45618</v>
      </c>
      <c r="C329" s="7" t="s">
        <v>15</v>
      </c>
      <c r="D329" s="7" t="s">
        <v>16</v>
      </c>
      <c r="E329" s="7">
        <v>6</v>
      </c>
      <c r="F329" s="7">
        <v>69410</v>
      </c>
      <c r="G329" s="7">
        <v>38481</v>
      </c>
      <c r="H329" s="7" t="s">
        <v>19</v>
      </c>
    </row>
    <row r="330" spans="1:8">
      <c r="A330" s="7" t="s">
        <v>353</v>
      </c>
      <c r="B330" s="8">
        <v>45619</v>
      </c>
      <c r="C330" s="7" t="s">
        <v>15</v>
      </c>
      <c r="D330" s="7" t="s">
        <v>27</v>
      </c>
      <c r="E330" s="7">
        <v>2</v>
      </c>
      <c r="F330" s="7">
        <v>75196</v>
      </c>
      <c r="G330" s="7">
        <v>46657</v>
      </c>
      <c r="H330" s="7" t="s">
        <v>36</v>
      </c>
    </row>
    <row r="331" spans="1:8">
      <c r="A331" s="7" t="s">
        <v>354</v>
      </c>
      <c r="B331" s="8">
        <v>45620</v>
      </c>
      <c r="C331" s="7" t="s">
        <v>26</v>
      </c>
      <c r="D331" s="7" t="s">
        <v>27</v>
      </c>
      <c r="E331" s="7">
        <v>9</v>
      </c>
      <c r="F331" s="7">
        <v>1677</v>
      </c>
      <c r="G331" s="7">
        <v>11805</v>
      </c>
      <c r="H331" s="7" t="s">
        <v>17</v>
      </c>
    </row>
    <row r="332" spans="1:8">
      <c r="A332" s="7" t="s">
        <v>355</v>
      </c>
      <c r="B332" s="8">
        <v>45622</v>
      </c>
      <c r="C332" s="7" t="s">
        <v>4</v>
      </c>
      <c r="D332" s="7" t="s">
        <v>24</v>
      </c>
      <c r="E332" s="7">
        <v>1</v>
      </c>
      <c r="F332" s="7">
        <v>32390</v>
      </c>
      <c r="G332" s="7">
        <v>37850</v>
      </c>
      <c r="H332" s="7" t="s">
        <v>36</v>
      </c>
    </row>
    <row r="333" spans="1:8">
      <c r="A333" s="7" t="s">
        <v>356</v>
      </c>
      <c r="B333" s="8">
        <v>45622</v>
      </c>
      <c r="C333" s="7" t="s">
        <v>3</v>
      </c>
      <c r="D333" s="7" t="s">
        <v>24</v>
      </c>
      <c r="E333" s="7">
        <v>7</v>
      </c>
      <c r="F333" s="7">
        <v>56773</v>
      </c>
      <c r="G333" s="7">
        <v>6347</v>
      </c>
      <c r="H333" s="7" t="s">
        <v>17</v>
      </c>
    </row>
    <row r="334" spans="1:8">
      <c r="A334" s="7" t="s">
        <v>357</v>
      </c>
      <c r="B334" s="8">
        <v>45629</v>
      </c>
      <c r="C334" s="7" t="s">
        <v>2</v>
      </c>
      <c r="D334" s="7" t="s">
        <v>22</v>
      </c>
      <c r="E334" s="7">
        <v>9</v>
      </c>
      <c r="F334" s="7">
        <v>12649</v>
      </c>
      <c r="G334" s="7">
        <v>4390</v>
      </c>
      <c r="H334" s="7" t="s">
        <v>19</v>
      </c>
    </row>
    <row r="335" spans="1:8">
      <c r="A335" s="7" t="s">
        <v>358</v>
      </c>
      <c r="B335" s="8">
        <v>45629</v>
      </c>
      <c r="C335" s="7" t="s">
        <v>2</v>
      </c>
      <c r="D335" s="7" t="s">
        <v>16</v>
      </c>
      <c r="E335" s="7">
        <v>8</v>
      </c>
      <c r="F335" s="7">
        <v>57509</v>
      </c>
      <c r="G335" s="7">
        <v>43951</v>
      </c>
      <c r="H335" s="7" t="s">
        <v>17</v>
      </c>
    </row>
    <row r="336" spans="1:8">
      <c r="A336" s="7" t="s">
        <v>359</v>
      </c>
      <c r="B336" s="8">
        <v>45629</v>
      </c>
      <c r="C336" s="7" t="s">
        <v>26</v>
      </c>
      <c r="D336" s="7" t="s">
        <v>32</v>
      </c>
      <c r="E336" s="7">
        <v>6</v>
      </c>
      <c r="F336" s="7">
        <v>42580</v>
      </c>
      <c r="G336" s="7">
        <v>26150</v>
      </c>
      <c r="H336" s="7" t="s">
        <v>17</v>
      </c>
    </row>
    <row r="337" spans="1:8">
      <c r="A337" s="7" t="s">
        <v>360</v>
      </c>
      <c r="B337" s="8">
        <v>45631</v>
      </c>
      <c r="C337" s="7" t="s">
        <v>4</v>
      </c>
      <c r="D337" s="7" t="s">
        <v>24</v>
      </c>
      <c r="E337" s="7">
        <v>1</v>
      </c>
      <c r="F337" s="7">
        <v>27487</v>
      </c>
      <c r="G337" s="7">
        <v>13087</v>
      </c>
      <c r="H337" s="7" t="s">
        <v>19</v>
      </c>
    </row>
    <row r="338" spans="1:8">
      <c r="A338" s="7" t="s">
        <v>361</v>
      </c>
      <c r="B338" s="8">
        <v>45631</v>
      </c>
      <c r="C338" s="7" t="s">
        <v>1</v>
      </c>
      <c r="D338" s="7" t="s">
        <v>24</v>
      </c>
      <c r="E338" s="7">
        <v>4</v>
      </c>
      <c r="F338" s="7">
        <v>41823</v>
      </c>
      <c r="G338" s="7">
        <v>33972</v>
      </c>
      <c r="H338" s="7" t="s">
        <v>19</v>
      </c>
    </row>
    <row r="339" spans="1:8">
      <c r="A339" s="7" t="s">
        <v>362</v>
      </c>
      <c r="B339" s="8">
        <v>45631</v>
      </c>
      <c r="C339" s="7" t="s">
        <v>2</v>
      </c>
      <c r="D339" s="7" t="s">
        <v>27</v>
      </c>
      <c r="E339" s="7">
        <v>4</v>
      </c>
      <c r="F339" s="7">
        <v>55816</v>
      </c>
      <c r="G339" s="7">
        <v>18071</v>
      </c>
      <c r="H339" s="7" t="s">
        <v>19</v>
      </c>
    </row>
    <row r="340" spans="1:8">
      <c r="A340" s="7" t="s">
        <v>363</v>
      </c>
      <c r="B340" s="8">
        <v>45633</v>
      </c>
      <c r="C340" s="7" t="s">
        <v>26</v>
      </c>
      <c r="D340" s="7" t="s">
        <v>16</v>
      </c>
      <c r="E340" s="7">
        <v>2</v>
      </c>
      <c r="F340" s="7">
        <v>15071</v>
      </c>
      <c r="G340" s="7">
        <v>34160</v>
      </c>
      <c r="H340" s="7" t="s">
        <v>36</v>
      </c>
    </row>
    <row r="341" spans="1:8">
      <c r="A341" s="7" t="s">
        <v>364</v>
      </c>
      <c r="B341" s="8">
        <v>45634</v>
      </c>
      <c r="C341" s="7" t="s">
        <v>1</v>
      </c>
      <c r="D341" s="7" t="s">
        <v>32</v>
      </c>
      <c r="E341" s="7">
        <v>9</v>
      </c>
      <c r="F341" s="7">
        <v>74465</v>
      </c>
      <c r="G341" s="7">
        <v>47760</v>
      </c>
      <c r="H341" s="7" t="s">
        <v>36</v>
      </c>
    </row>
    <row r="342" spans="1:8">
      <c r="A342" s="7" t="s">
        <v>365</v>
      </c>
      <c r="B342" s="8">
        <v>45635</v>
      </c>
      <c r="C342" s="7" t="s">
        <v>15</v>
      </c>
      <c r="D342" s="7" t="s">
        <v>16</v>
      </c>
      <c r="E342" s="7">
        <v>9</v>
      </c>
      <c r="F342" s="7">
        <v>6204</v>
      </c>
      <c r="G342" s="7">
        <v>19037</v>
      </c>
      <c r="H342" s="7" t="s">
        <v>36</v>
      </c>
    </row>
    <row r="343" spans="1:8">
      <c r="A343" s="7" t="s">
        <v>366</v>
      </c>
      <c r="B343" s="8">
        <v>45635</v>
      </c>
      <c r="C343" s="7" t="s">
        <v>2</v>
      </c>
      <c r="D343" s="7" t="s">
        <v>27</v>
      </c>
      <c r="E343" s="7">
        <v>8</v>
      </c>
      <c r="F343" s="7">
        <v>56326</v>
      </c>
      <c r="G343" s="7">
        <v>34598</v>
      </c>
      <c r="H343" s="7" t="s">
        <v>19</v>
      </c>
    </row>
    <row r="344" spans="1:8">
      <c r="A344" s="7" t="s">
        <v>367</v>
      </c>
      <c r="B344" s="8">
        <v>45636</v>
      </c>
      <c r="C344" s="7" t="s">
        <v>3</v>
      </c>
      <c r="D344" s="7" t="s">
        <v>27</v>
      </c>
      <c r="E344" s="7">
        <v>8</v>
      </c>
      <c r="F344" s="7">
        <v>25926</v>
      </c>
      <c r="G344" s="7">
        <v>17832</v>
      </c>
      <c r="H344" s="7" t="s">
        <v>17</v>
      </c>
    </row>
    <row r="345" spans="1:8">
      <c r="A345" s="7" t="s">
        <v>368</v>
      </c>
      <c r="B345" s="8">
        <v>45636</v>
      </c>
      <c r="C345" s="7" t="s">
        <v>26</v>
      </c>
      <c r="D345" s="7" t="s">
        <v>16</v>
      </c>
      <c r="E345" s="7">
        <v>2</v>
      </c>
      <c r="F345" s="7">
        <v>31901</v>
      </c>
      <c r="G345" s="7">
        <v>7256</v>
      </c>
      <c r="H345" s="7" t="s">
        <v>36</v>
      </c>
    </row>
    <row r="346" spans="1:8">
      <c r="A346" s="7" t="s">
        <v>369</v>
      </c>
      <c r="B346" s="8">
        <v>45637</v>
      </c>
      <c r="C346" s="7" t="s">
        <v>26</v>
      </c>
      <c r="D346" s="7" t="s">
        <v>32</v>
      </c>
      <c r="E346" s="7">
        <v>3</v>
      </c>
      <c r="F346" s="7">
        <v>74270</v>
      </c>
      <c r="G346" s="7">
        <v>35546</v>
      </c>
      <c r="H346" s="7" t="s">
        <v>36</v>
      </c>
    </row>
    <row r="347" spans="1:8">
      <c r="A347" s="7" t="s">
        <v>370</v>
      </c>
      <c r="B347" s="8">
        <v>45637</v>
      </c>
      <c r="C347" s="7" t="s">
        <v>15</v>
      </c>
      <c r="D347" s="7" t="s">
        <v>16</v>
      </c>
      <c r="E347" s="7">
        <v>9</v>
      </c>
      <c r="F347" s="7">
        <v>69749</v>
      </c>
      <c r="G347" s="7">
        <v>20715</v>
      </c>
      <c r="H347" s="7" t="s">
        <v>19</v>
      </c>
    </row>
    <row r="348" spans="1:8">
      <c r="A348" s="7" t="s">
        <v>371</v>
      </c>
      <c r="B348" s="8">
        <v>45637</v>
      </c>
      <c r="C348" s="7" t="s">
        <v>1</v>
      </c>
      <c r="D348" s="7" t="s">
        <v>27</v>
      </c>
      <c r="E348" s="7">
        <v>7</v>
      </c>
      <c r="F348" s="7">
        <v>6906</v>
      </c>
      <c r="G348" s="7">
        <v>15939</v>
      </c>
      <c r="H348" s="7" t="s">
        <v>19</v>
      </c>
    </row>
    <row r="349" spans="1:8">
      <c r="A349" s="7" t="s">
        <v>372</v>
      </c>
      <c r="B349" s="8">
        <v>45637</v>
      </c>
      <c r="C349" s="7" t="s">
        <v>4</v>
      </c>
      <c r="D349" s="7" t="s">
        <v>16</v>
      </c>
      <c r="E349" s="7">
        <v>7</v>
      </c>
      <c r="F349" s="7">
        <v>63537</v>
      </c>
      <c r="G349" s="7">
        <v>34243</v>
      </c>
      <c r="H349" s="7" t="s">
        <v>19</v>
      </c>
    </row>
    <row r="350" spans="1:8">
      <c r="A350" s="7" t="s">
        <v>373</v>
      </c>
      <c r="B350" s="8">
        <v>45639</v>
      </c>
      <c r="C350" s="7" t="s">
        <v>26</v>
      </c>
      <c r="D350" s="7" t="s">
        <v>32</v>
      </c>
      <c r="E350" s="7">
        <v>6</v>
      </c>
      <c r="F350" s="7">
        <v>77059</v>
      </c>
      <c r="G350" s="7">
        <v>3643</v>
      </c>
      <c r="H350" s="7" t="s">
        <v>36</v>
      </c>
    </row>
    <row r="351" spans="1:8">
      <c r="A351" s="7" t="s">
        <v>374</v>
      </c>
      <c r="B351" s="8">
        <v>45640</v>
      </c>
      <c r="C351" s="7" t="s">
        <v>4</v>
      </c>
      <c r="D351" s="7" t="s">
        <v>16</v>
      </c>
      <c r="E351" s="7">
        <v>5</v>
      </c>
      <c r="F351" s="7">
        <v>55909</v>
      </c>
      <c r="G351" s="7">
        <v>24387</v>
      </c>
      <c r="H351" s="7" t="s">
        <v>30</v>
      </c>
    </row>
    <row r="352" spans="1:8">
      <c r="A352" s="7" t="s">
        <v>375</v>
      </c>
      <c r="B352" s="8">
        <v>45640</v>
      </c>
      <c r="C352" s="7" t="s">
        <v>2</v>
      </c>
      <c r="D352" s="7" t="s">
        <v>32</v>
      </c>
      <c r="E352" s="7">
        <v>6</v>
      </c>
      <c r="F352" s="7">
        <v>45436</v>
      </c>
      <c r="G352" s="7">
        <v>31933</v>
      </c>
      <c r="H352" s="7" t="s">
        <v>19</v>
      </c>
    </row>
    <row r="353" spans="1:8">
      <c r="A353" s="7" t="s">
        <v>376</v>
      </c>
      <c r="B353" s="8">
        <v>45640</v>
      </c>
      <c r="C353" s="7" t="s">
        <v>2</v>
      </c>
      <c r="D353" s="7" t="s">
        <v>24</v>
      </c>
      <c r="E353" s="7">
        <v>6</v>
      </c>
      <c r="F353" s="7">
        <v>65141</v>
      </c>
      <c r="G353" s="7">
        <v>3591</v>
      </c>
      <c r="H353" s="7" t="s">
        <v>36</v>
      </c>
    </row>
    <row r="354" spans="1:8">
      <c r="A354" s="7" t="s">
        <v>377</v>
      </c>
      <c r="B354" s="8">
        <v>45640</v>
      </c>
      <c r="C354" s="7" t="s">
        <v>4</v>
      </c>
      <c r="D354" s="7" t="s">
        <v>32</v>
      </c>
      <c r="E354" s="7">
        <v>5</v>
      </c>
      <c r="F354" s="7">
        <v>17405</v>
      </c>
      <c r="G354" s="7">
        <v>10122</v>
      </c>
      <c r="H354" s="7" t="s">
        <v>30</v>
      </c>
    </row>
    <row r="355" spans="1:8">
      <c r="A355" s="7" t="s">
        <v>378</v>
      </c>
      <c r="B355" s="8">
        <v>45642</v>
      </c>
      <c r="C355" s="7" t="s">
        <v>3</v>
      </c>
      <c r="D355" s="7" t="s">
        <v>27</v>
      </c>
      <c r="E355" s="7">
        <v>2</v>
      </c>
      <c r="F355" s="7">
        <v>23671</v>
      </c>
      <c r="G355" s="7">
        <v>30750</v>
      </c>
      <c r="H355" s="7" t="s">
        <v>19</v>
      </c>
    </row>
    <row r="356" spans="1:8">
      <c r="A356" s="7" t="s">
        <v>379</v>
      </c>
      <c r="B356" s="8">
        <v>45643</v>
      </c>
      <c r="C356" s="7" t="s">
        <v>2</v>
      </c>
      <c r="D356" s="7" t="s">
        <v>16</v>
      </c>
      <c r="E356" s="7">
        <v>4</v>
      </c>
      <c r="F356" s="7">
        <v>14984</v>
      </c>
      <c r="G356" s="7">
        <v>4384</v>
      </c>
      <c r="H356" s="7" t="s">
        <v>17</v>
      </c>
    </row>
    <row r="357" spans="1:8">
      <c r="A357" s="7" t="s">
        <v>380</v>
      </c>
      <c r="B357" s="8">
        <v>45643</v>
      </c>
      <c r="C357" s="7" t="s">
        <v>26</v>
      </c>
      <c r="D357" s="7" t="s">
        <v>24</v>
      </c>
      <c r="E357" s="7">
        <v>6</v>
      </c>
      <c r="F357" s="7">
        <v>55323</v>
      </c>
      <c r="G357" s="7">
        <v>19489</v>
      </c>
      <c r="H357" s="7" t="s">
        <v>17</v>
      </c>
    </row>
    <row r="358" spans="1:8">
      <c r="A358" s="7" t="s">
        <v>381</v>
      </c>
      <c r="B358" s="8">
        <v>45650</v>
      </c>
      <c r="C358" s="7" t="s">
        <v>4</v>
      </c>
      <c r="D358" s="7" t="s">
        <v>22</v>
      </c>
      <c r="E358" s="7">
        <v>5</v>
      </c>
      <c r="F358" s="7">
        <v>55124</v>
      </c>
      <c r="G358" s="7">
        <v>49201</v>
      </c>
      <c r="H358" s="7" t="s">
        <v>36</v>
      </c>
    </row>
    <row r="359" spans="1:8">
      <c r="A359" s="7" t="s">
        <v>382</v>
      </c>
      <c r="B359" s="8">
        <v>45650</v>
      </c>
      <c r="C359" s="7" t="s">
        <v>2</v>
      </c>
      <c r="D359" s="7" t="s">
        <v>27</v>
      </c>
      <c r="E359" s="7">
        <v>6</v>
      </c>
      <c r="F359" s="7">
        <v>36535</v>
      </c>
      <c r="G359" s="7">
        <v>2171</v>
      </c>
      <c r="H359" s="7" t="s">
        <v>30</v>
      </c>
    </row>
    <row r="360" spans="1:8">
      <c r="A360" s="7" t="s">
        <v>383</v>
      </c>
      <c r="B360" s="8">
        <v>45651</v>
      </c>
      <c r="C360" s="7" t="s">
        <v>1</v>
      </c>
      <c r="D360" s="7" t="s">
        <v>24</v>
      </c>
      <c r="E360" s="7">
        <v>1</v>
      </c>
      <c r="F360" s="7">
        <v>79416</v>
      </c>
      <c r="G360" s="7">
        <v>4754</v>
      </c>
      <c r="H360" s="7" t="s">
        <v>17</v>
      </c>
    </row>
    <row r="361" spans="1:8">
      <c r="A361" s="7" t="s">
        <v>384</v>
      </c>
      <c r="B361" s="8">
        <v>45651</v>
      </c>
      <c r="C361" s="7" t="s">
        <v>3</v>
      </c>
      <c r="D361" s="7" t="s">
        <v>27</v>
      </c>
      <c r="E361" s="7">
        <v>2</v>
      </c>
      <c r="F361" s="7">
        <v>79112</v>
      </c>
      <c r="G361" s="7">
        <v>39356</v>
      </c>
      <c r="H361" s="7" t="s">
        <v>17</v>
      </c>
    </row>
    <row r="362" spans="1:8">
      <c r="A362" s="7" t="s">
        <v>385</v>
      </c>
      <c r="B362" s="8">
        <v>45651</v>
      </c>
      <c r="C362" s="7" t="s">
        <v>4</v>
      </c>
      <c r="D362" s="7" t="s">
        <v>27</v>
      </c>
      <c r="E362" s="7">
        <v>8</v>
      </c>
      <c r="F362" s="7">
        <v>29871</v>
      </c>
      <c r="G362" s="7">
        <v>33373</v>
      </c>
      <c r="H362" s="7" t="s">
        <v>36</v>
      </c>
    </row>
    <row r="363" spans="1:8">
      <c r="A363" s="7" t="s">
        <v>386</v>
      </c>
      <c r="B363" s="8">
        <v>45651</v>
      </c>
      <c r="C363" s="7" t="s">
        <v>3</v>
      </c>
      <c r="D363" s="7" t="s">
        <v>22</v>
      </c>
      <c r="E363" s="7">
        <v>2</v>
      </c>
      <c r="F363" s="7">
        <v>15922</v>
      </c>
      <c r="G363" s="7">
        <v>26643</v>
      </c>
      <c r="H363" s="7" t="s">
        <v>36</v>
      </c>
    </row>
    <row r="364" spans="1:8">
      <c r="A364" s="7" t="s">
        <v>387</v>
      </c>
      <c r="B364" s="8">
        <v>45651</v>
      </c>
      <c r="C364" s="7" t="s">
        <v>4</v>
      </c>
      <c r="D364" s="7" t="s">
        <v>16</v>
      </c>
      <c r="E364" s="7">
        <v>1</v>
      </c>
      <c r="F364" s="7">
        <v>44450</v>
      </c>
      <c r="G364" s="7">
        <v>29276</v>
      </c>
      <c r="H364" s="7" t="s">
        <v>36</v>
      </c>
    </row>
    <row r="365" spans="1:8">
      <c r="A365" s="7" t="s">
        <v>388</v>
      </c>
      <c r="B365" s="8">
        <v>45655</v>
      </c>
      <c r="C365" s="7" t="s">
        <v>1</v>
      </c>
      <c r="D365" s="7" t="s">
        <v>22</v>
      </c>
      <c r="E365" s="7">
        <v>5</v>
      </c>
      <c r="F365" s="7">
        <v>77243</v>
      </c>
      <c r="G365" s="7">
        <v>26498</v>
      </c>
      <c r="H365" s="7" t="s">
        <v>30</v>
      </c>
    </row>
    <row r="366" spans="1:8">
      <c r="A366" s="7" t="s">
        <v>389</v>
      </c>
      <c r="B366" s="8">
        <v>45656</v>
      </c>
      <c r="C366" s="7" t="s">
        <v>1</v>
      </c>
      <c r="D366" s="7" t="s">
        <v>24</v>
      </c>
      <c r="E366" s="7">
        <v>8</v>
      </c>
      <c r="F366" s="7">
        <v>30456</v>
      </c>
      <c r="G366" s="7">
        <v>19888</v>
      </c>
      <c r="H366" s="7" t="s">
        <v>17</v>
      </c>
    </row>
    <row r="367" spans="1:8">
      <c r="A367" s="7" t="s">
        <v>390</v>
      </c>
      <c r="B367" s="8">
        <v>45657</v>
      </c>
      <c r="C367" s="7" t="s">
        <v>3</v>
      </c>
      <c r="D367" s="7" t="s">
        <v>24</v>
      </c>
      <c r="E367" s="7">
        <v>3</v>
      </c>
      <c r="F367" s="7">
        <v>6672</v>
      </c>
      <c r="G367" s="7">
        <v>40951</v>
      </c>
      <c r="H367" s="7" t="s">
        <v>36</v>
      </c>
    </row>
    <row r="368" spans="1:8">
      <c r="A368" s="7" t="s">
        <v>391</v>
      </c>
      <c r="B368" s="8">
        <v>45658</v>
      </c>
      <c r="C368" s="7" t="s">
        <v>4</v>
      </c>
      <c r="D368" s="7" t="s">
        <v>16</v>
      </c>
      <c r="E368" s="7">
        <v>9</v>
      </c>
      <c r="F368" s="7">
        <v>58848</v>
      </c>
      <c r="G368" s="7">
        <v>18081</v>
      </c>
      <c r="H368" s="7" t="s">
        <v>17</v>
      </c>
    </row>
    <row r="369" spans="1:8">
      <c r="A369" s="7" t="s">
        <v>392</v>
      </c>
      <c r="B369" s="8">
        <v>45658</v>
      </c>
      <c r="C369" s="7" t="s">
        <v>1</v>
      </c>
      <c r="D369" s="7" t="s">
        <v>27</v>
      </c>
      <c r="E369" s="7">
        <v>1</v>
      </c>
      <c r="F369" s="7">
        <v>59689</v>
      </c>
      <c r="G369" s="7">
        <v>6997</v>
      </c>
      <c r="H369" s="7" t="s">
        <v>17</v>
      </c>
    </row>
    <row r="370" spans="1:8">
      <c r="A370" s="7" t="s">
        <v>393</v>
      </c>
      <c r="B370" s="8">
        <v>45658</v>
      </c>
      <c r="C370" s="7" t="s">
        <v>26</v>
      </c>
      <c r="D370" s="7" t="s">
        <v>32</v>
      </c>
      <c r="E370" s="7">
        <v>9</v>
      </c>
      <c r="F370" s="7">
        <v>35644</v>
      </c>
      <c r="G370" s="7">
        <v>21215</v>
      </c>
      <c r="H370" s="7" t="s">
        <v>17</v>
      </c>
    </row>
    <row r="371" spans="1:8">
      <c r="A371" s="7" t="s">
        <v>394</v>
      </c>
      <c r="B371" s="8">
        <v>45660</v>
      </c>
      <c r="C371" s="7" t="s">
        <v>1</v>
      </c>
      <c r="D371" s="7" t="s">
        <v>24</v>
      </c>
      <c r="E371" s="7">
        <v>5</v>
      </c>
      <c r="F371" s="7">
        <v>24522</v>
      </c>
      <c r="G371" s="7">
        <v>7710</v>
      </c>
      <c r="H371" s="7" t="s">
        <v>30</v>
      </c>
    </row>
    <row r="372" spans="1:8">
      <c r="A372" s="7" t="s">
        <v>395</v>
      </c>
      <c r="B372" s="8">
        <v>45662</v>
      </c>
      <c r="C372" s="7" t="s">
        <v>2</v>
      </c>
      <c r="D372" s="7" t="s">
        <v>27</v>
      </c>
      <c r="E372" s="7">
        <v>9</v>
      </c>
      <c r="F372" s="7">
        <v>45357</v>
      </c>
      <c r="G372" s="7">
        <v>31129</v>
      </c>
      <c r="H372" s="7" t="s">
        <v>30</v>
      </c>
    </row>
    <row r="373" spans="1:8">
      <c r="A373" s="7" t="s">
        <v>396</v>
      </c>
      <c r="B373" s="8">
        <v>45663</v>
      </c>
      <c r="C373" s="7" t="s">
        <v>2</v>
      </c>
      <c r="D373" s="7" t="s">
        <v>16</v>
      </c>
      <c r="E373" s="7">
        <v>6</v>
      </c>
      <c r="F373" s="7">
        <v>78366</v>
      </c>
      <c r="G373" s="7">
        <v>49777</v>
      </c>
      <c r="H373" s="7" t="s">
        <v>36</v>
      </c>
    </row>
    <row r="374" spans="1:8">
      <c r="A374" s="7" t="s">
        <v>397</v>
      </c>
      <c r="B374" s="8">
        <v>45664</v>
      </c>
      <c r="C374" s="7" t="s">
        <v>15</v>
      </c>
      <c r="D374" s="7" t="s">
        <v>27</v>
      </c>
      <c r="E374" s="7">
        <v>8</v>
      </c>
      <c r="F374" s="7">
        <v>20008</v>
      </c>
      <c r="G374" s="7">
        <v>30739</v>
      </c>
      <c r="H374" s="7" t="s">
        <v>36</v>
      </c>
    </row>
    <row r="375" spans="1:8">
      <c r="A375" s="7" t="s">
        <v>398</v>
      </c>
      <c r="B375" s="8">
        <v>45664</v>
      </c>
      <c r="C375" s="7" t="s">
        <v>26</v>
      </c>
      <c r="D375" s="7" t="s">
        <v>32</v>
      </c>
      <c r="E375" s="7">
        <v>4</v>
      </c>
      <c r="F375" s="7">
        <v>60265</v>
      </c>
      <c r="G375" s="7">
        <v>17021</v>
      </c>
      <c r="H375" s="7" t="s">
        <v>30</v>
      </c>
    </row>
    <row r="376" spans="1:8">
      <c r="A376" s="7" t="s">
        <v>399</v>
      </c>
      <c r="B376" s="8">
        <v>45665</v>
      </c>
      <c r="C376" s="7" t="s">
        <v>4</v>
      </c>
      <c r="D376" s="7" t="s">
        <v>32</v>
      </c>
      <c r="E376" s="7">
        <v>2</v>
      </c>
      <c r="F376" s="7">
        <v>63633</v>
      </c>
      <c r="G376" s="7">
        <v>32703</v>
      </c>
      <c r="H376" s="7" t="s">
        <v>19</v>
      </c>
    </row>
    <row r="377" spans="1:8">
      <c r="A377" s="7" t="s">
        <v>400</v>
      </c>
      <c r="B377" s="8">
        <v>45666</v>
      </c>
      <c r="C377" s="7" t="s">
        <v>15</v>
      </c>
      <c r="D377" s="7" t="s">
        <v>24</v>
      </c>
      <c r="E377" s="7">
        <v>2</v>
      </c>
      <c r="F377" s="7">
        <v>48855</v>
      </c>
      <c r="G377" s="7">
        <v>31930</v>
      </c>
      <c r="H377" s="7" t="s">
        <v>30</v>
      </c>
    </row>
    <row r="378" spans="1:8">
      <c r="A378" s="7" t="s">
        <v>401</v>
      </c>
      <c r="B378" s="8">
        <v>45668</v>
      </c>
      <c r="C378" s="7" t="s">
        <v>15</v>
      </c>
      <c r="D378" s="7" t="s">
        <v>27</v>
      </c>
      <c r="E378" s="7">
        <v>1</v>
      </c>
      <c r="F378" s="7">
        <v>6282</v>
      </c>
      <c r="G378" s="7">
        <v>18073</v>
      </c>
      <c r="H378" s="7" t="s">
        <v>17</v>
      </c>
    </row>
    <row r="379" spans="1:8">
      <c r="A379" s="7" t="s">
        <v>402</v>
      </c>
      <c r="B379" s="8">
        <v>45670</v>
      </c>
      <c r="C379" s="7" t="s">
        <v>15</v>
      </c>
      <c r="D379" s="7" t="s">
        <v>22</v>
      </c>
      <c r="E379" s="7">
        <v>9</v>
      </c>
      <c r="F379" s="7">
        <v>42121</v>
      </c>
      <c r="G379" s="7">
        <v>35051</v>
      </c>
      <c r="H379" s="7" t="s">
        <v>30</v>
      </c>
    </row>
    <row r="380" spans="1:8">
      <c r="A380" s="7" t="s">
        <v>403</v>
      </c>
      <c r="B380" s="8">
        <v>45671</v>
      </c>
      <c r="C380" s="7" t="s">
        <v>3</v>
      </c>
      <c r="D380" s="7" t="s">
        <v>32</v>
      </c>
      <c r="E380" s="7">
        <v>7</v>
      </c>
      <c r="F380" s="7">
        <v>24169</v>
      </c>
      <c r="G380" s="7">
        <v>44934</v>
      </c>
      <c r="H380" s="7" t="s">
        <v>19</v>
      </c>
    </row>
    <row r="381" spans="1:8">
      <c r="A381" s="7" t="s">
        <v>404</v>
      </c>
      <c r="B381" s="8">
        <v>45671</v>
      </c>
      <c r="C381" s="7" t="s">
        <v>2</v>
      </c>
      <c r="D381" s="7" t="s">
        <v>27</v>
      </c>
      <c r="E381" s="7">
        <v>7</v>
      </c>
      <c r="F381" s="7">
        <v>11256</v>
      </c>
      <c r="G381" s="7">
        <v>16078</v>
      </c>
      <c r="H381" s="7" t="s">
        <v>17</v>
      </c>
    </row>
    <row r="382" spans="1:8">
      <c r="A382" s="7" t="s">
        <v>405</v>
      </c>
      <c r="B382" s="8">
        <v>45671</v>
      </c>
      <c r="C382" s="7" t="s">
        <v>1</v>
      </c>
      <c r="D382" s="7" t="s">
        <v>24</v>
      </c>
      <c r="E382" s="7">
        <v>3</v>
      </c>
      <c r="F382" s="7">
        <v>10003</v>
      </c>
      <c r="G382" s="7">
        <v>19058</v>
      </c>
      <c r="H382" s="7" t="s">
        <v>36</v>
      </c>
    </row>
    <row r="383" spans="1:8">
      <c r="A383" s="7" t="s">
        <v>406</v>
      </c>
      <c r="B383" s="8">
        <v>45675</v>
      </c>
      <c r="C383" s="7" t="s">
        <v>15</v>
      </c>
      <c r="D383" s="7" t="s">
        <v>22</v>
      </c>
      <c r="E383" s="7">
        <v>3</v>
      </c>
      <c r="F383" s="7">
        <v>4131</v>
      </c>
      <c r="G383" s="7">
        <v>45918</v>
      </c>
      <c r="H383" s="7" t="s">
        <v>19</v>
      </c>
    </row>
    <row r="384" spans="1:8">
      <c r="A384" s="7" t="s">
        <v>407</v>
      </c>
      <c r="B384" s="8">
        <v>45675</v>
      </c>
      <c r="C384" s="7" t="s">
        <v>3</v>
      </c>
      <c r="D384" s="7" t="s">
        <v>16</v>
      </c>
      <c r="E384" s="7">
        <v>9</v>
      </c>
      <c r="F384" s="7">
        <v>23114</v>
      </c>
      <c r="G384" s="7">
        <v>37632</v>
      </c>
      <c r="H384" s="7" t="s">
        <v>30</v>
      </c>
    </row>
    <row r="385" spans="1:8">
      <c r="A385" s="7" t="s">
        <v>408</v>
      </c>
      <c r="B385" s="8">
        <v>45676</v>
      </c>
      <c r="C385" s="7" t="s">
        <v>1</v>
      </c>
      <c r="D385" s="7" t="s">
        <v>27</v>
      </c>
      <c r="E385" s="7">
        <v>4</v>
      </c>
      <c r="F385" s="7">
        <v>16663</v>
      </c>
      <c r="G385" s="7">
        <v>48299</v>
      </c>
      <c r="H385" s="7" t="s">
        <v>19</v>
      </c>
    </row>
    <row r="386" spans="1:8">
      <c r="A386" s="7" t="s">
        <v>409</v>
      </c>
      <c r="B386" s="8">
        <v>45676</v>
      </c>
      <c r="C386" s="7" t="s">
        <v>2</v>
      </c>
      <c r="D386" s="7" t="s">
        <v>16</v>
      </c>
      <c r="E386" s="7">
        <v>5</v>
      </c>
      <c r="F386" s="7">
        <v>51612</v>
      </c>
      <c r="G386" s="7">
        <v>2633</v>
      </c>
      <c r="H386" s="7" t="s">
        <v>19</v>
      </c>
    </row>
    <row r="387" spans="1:8">
      <c r="A387" s="7" t="s">
        <v>410</v>
      </c>
      <c r="B387" s="8">
        <v>45676</v>
      </c>
      <c r="C387" s="7" t="s">
        <v>15</v>
      </c>
      <c r="D387" s="7" t="s">
        <v>24</v>
      </c>
      <c r="E387" s="7">
        <v>3</v>
      </c>
      <c r="F387" s="7">
        <v>60928</v>
      </c>
      <c r="G387" s="7">
        <v>22038</v>
      </c>
      <c r="H387" s="7" t="s">
        <v>30</v>
      </c>
    </row>
    <row r="388" spans="1:8">
      <c r="A388" s="7" t="s">
        <v>411</v>
      </c>
      <c r="B388" s="8">
        <v>45677</v>
      </c>
      <c r="C388" s="7" t="s">
        <v>26</v>
      </c>
      <c r="D388" s="7" t="s">
        <v>22</v>
      </c>
      <c r="E388" s="7">
        <v>7</v>
      </c>
      <c r="F388" s="7">
        <v>27708</v>
      </c>
      <c r="G388" s="7">
        <v>6926</v>
      </c>
      <c r="H388" s="7" t="s">
        <v>17</v>
      </c>
    </row>
    <row r="389" spans="1:8">
      <c r="A389" s="7" t="s">
        <v>412</v>
      </c>
      <c r="B389" s="8">
        <v>45677</v>
      </c>
      <c r="C389" s="7" t="s">
        <v>4</v>
      </c>
      <c r="D389" s="7" t="s">
        <v>16</v>
      </c>
      <c r="E389" s="7">
        <v>4</v>
      </c>
      <c r="F389" s="7">
        <v>60389</v>
      </c>
      <c r="G389" s="7">
        <v>6110</v>
      </c>
      <c r="H389" s="7" t="s">
        <v>17</v>
      </c>
    </row>
    <row r="390" spans="1:8">
      <c r="A390" s="7" t="s">
        <v>413</v>
      </c>
      <c r="B390" s="8">
        <v>45677</v>
      </c>
      <c r="C390" s="7" t="s">
        <v>2</v>
      </c>
      <c r="D390" s="7" t="s">
        <v>16</v>
      </c>
      <c r="E390" s="7">
        <v>7</v>
      </c>
      <c r="F390" s="7">
        <v>73409</v>
      </c>
      <c r="G390" s="7">
        <v>26470</v>
      </c>
      <c r="H390" s="7" t="s">
        <v>17</v>
      </c>
    </row>
    <row r="391" spans="1:8">
      <c r="A391" s="7" t="s">
        <v>414</v>
      </c>
      <c r="B391" s="8">
        <v>45678</v>
      </c>
      <c r="C391" s="7" t="s">
        <v>2</v>
      </c>
      <c r="D391" s="7" t="s">
        <v>24</v>
      </c>
      <c r="E391" s="7">
        <v>3</v>
      </c>
      <c r="F391" s="7">
        <v>55749</v>
      </c>
      <c r="G391" s="7">
        <v>24017</v>
      </c>
      <c r="H391" s="7" t="s">
        <v>19</v>
      </c>
    </row>
    <row r="392" spans="1:8">
      <c r="A392" s="7" t="s">
        <v>415</v>
      </c>
      <c r="B392" s="8">
        <v>45679</v>
      </c>
      <c r="C392" s="7" t="s">
        <v>4</v>
      </c>
      <c r="D392" s="7" t="s">
        <v>24</v>
      </c>
      <c r="E392" s="7">
        <v>2</v>
      </c>
      <c r="F392" s="7">
        <v>22136</v>
      </c>
      <c r="G392" s="7">
        <v>14944</v>
      </c>
      <c r="H392" s="7" t="s">
        <v>36</v>
      </c>
    </row>
    <row r="393" spans="1:8">
      <c r="A393" s="7" t="s">
        <v>416</v>
      </c>
      <c r="B393" s="8">
        <v>45679</v>
      </c>
      <c r="C393" s="7" t="s">
        <v>3</v>
      </c>
      <c r="D393" s="7" t="s">
        <v>22</v>
      </c>
      <c r="E393" s="7">
        <v>4</v>
      </c>
      <c r="F393" s="7">
        <v>38150</v>
      </c>
      <c r="G393" s="7">
        <v>14109</v>
      </c>
      <c r="H393" s="7" t="s">
        <v>30</v>
      </c>
    </row>
    <row r="394" spans="1:8">
      <c r="A394" s="7" t="s">
        <v>417</v>
      </c>
      <c r="B394" s="8">
        <v>45679</v>
      </c>
      <c r="C394" s="7" t="s">
        <v>1</v>
      </c>
      <c r="D394" s="7" t="s">
        <v>27</v>
      </c>
      <c r="E394" s="7">
        <v>9</v>
      </c>
      <c r="F394" s="7">
        <v>74569</v>
      </c>
      <c r="G394" s="7">
        <v>47907</v>
      </c>
      <c r="H394" s="7" t="s">
        <v>19</v>
      </c>
    </row>
    <row r="395" spans="1:8">
      <c r="A395" s="7" t="s">
        <v>418</v>
      </c>
      <c r="B395" s="8">
        <v>45681</v>
      </c>
      <c r="C395" s="7" t="s">
        <v>2</v>
      </c>
      <c r="D395" s="7" t="s">
        <v>24</v>
      </c>
      <c r="E395" s="7">
        <v>5</v>
      </c>
      <c r="F395" s="7">
        <v>46913</v>
      </c>
      <c r="G395" s="7">
        <v>15537</v>
      </c>
      <c r="H395" s="7" t="s">
        <v>17</v>
      </c>
    </row>
    <row r="396" spans="1:8">
      <c r="A396" s="7" t="s">
        <v>419</v>
      </c>
      <c r="B396" s="8">
        <v>45683</v>
      </c>
      <c r="C396" s="7" t="s">
        <v>4</v>
      </c>
      <c r="D396" s="7" t="s">
        <v>22</v>
      </c>
      <c r="E396" s="7">
        <v>2</v>
      </c>
      <c r="F396" s="7">
        <v>26660</v>
      </c>
      <c r="G396" s="7">
        <v>22621</v>
      </c>
      <c r="H396" s="7" t="s">
        <v>36</v>
      </c>
    </row>
    <row r="397" spans="1:8">
      <c r="A397" s="7" t="s">
        <v>420</v>
      </c>
      <c r="B397" s="8">
        <v>45683</v>
      </c>
      <c r="C397" s="7" t="s">
        <v>26</v>
      </c>
      <c r="D397" s="7" t="s">
        <v>16</v>
      </c>
      <c r="E397" s="7">
        <v>6</v>
      </c>
      <c r="F397" s="7">
        <v>42491</v>
      </c>
      <c r="G397" s="7">
        <v>27515</v>
      </c>
      <c r="H397" s="7" t="s">
        <v>17</v>
      </c>
    </row>
    <row r="398" spans="1:8">
      <c r="A398" s="7" t="s">
        <v>421</v>
      </c>
      <c r="B398" s="8">
        <v>45684</v>
      </c>
      <c r="C398" s="7" t="s">
        <v>26</v>
      </c>
      <c r="D398" s="7" t="s">
        <v>16</v>
      </c>
      <c r="E398" s="7">
        <v>6</v>
      </c>
      <c r="F398" s="7">
        <v>68508</v>
      </c>
      <c r="G398" s="7">
        <v>44363</v>
      </c>
      <c r="H398" s="7" t="s">
        <v>36</v>
      </c>
    </row>
    <row r="399" spans="1:8">
      <c r="A399" s="7" t="s">
        <v>422</v>
      </c>
      <c r="B399" s="8">
        <v>45686</v>
      </c>
      <c r="C399" s="7" t="s">
        <v>1</v>
      </c>
      <c r="D399" s="7" t="s">
        <v>32</v>
      </c>
      <c r="E399" s="7">
        <v>8</v>
      </c>
      <c r="F399" s="7">
        <v>40422</v>
      </c>
      <c r="G399" s="7">
        <v>11800</v>
      </c>
      <c r="H399" s="7" t="s">
        <v>30</v>
      </c>
    </row>
    <row r="400" spans="1:8">
      <c r="A400" s="7" t="s">
        <v>423</v>
      </c>
      <c r="B400" s="8">
        <v>45689</v>
      </c>
      <c r="C400" s="7" t="s">
        <v>2</v>
      </c>
      <c r="D400" s="7" t="s">
        <v>27</v>
      </c>
      <c r="E400" s="7">
        <v>9</v>
      </c>
      <c r="F400" s="7">
        <v>31867</v>
      </c>
      <c r="G400" s="7">
        <v>3096</v>
      </c>
      <c r="H400" s="7" t="s">
        <v>30</v>
      </c>
    </row>
    <row r="401" spans="1:8">
      <c r="A401" s="7" t="s">
        <v>424</v>
      </c>
      <c r="B401" s="8">
        <v>45689</v>
      </c>
      <c r="C401" s="7" t="s">
        <v>1</v>
      </c>
      <c r="D401" s="7" t="s">
        <v>16</v>
      </c>
      <c r="E401" s="7">
        <v>7</v>
      </c>
      <c r="F401" s="7">
        <v>56992</v>
      </c>
      <c r="G401" s="7">
        <v>9004</v>
      </c>
      <c r="H401" s="7" t="s">
        <v>19</v>
      </c>
    </row>
    <row r="402" spans="1:8">
      <c r="A402" s="7" t="s">
        <v>425</v>
      </c>
      <c r="B402" s="8">
        <v>45692</v>
      </c>
      <c r="C402" s="7" t="s">
        <v>1</v>
      </c>
      <c r="D402" s="7" t="s">
        <v>27</v>
      </c>
      <c r="E402" s="7">
        <v>3</v>
      </c>
      <c r="F402" s="7">
        <v>52688</v>
      </c>
      <c r="G402" s="7">
        <v>28733</v>
      </c>
      <c r="H402" s="7" t="s">
        <v>17</v>
      </c>
    </row>
    <row r="403" spans="1:8">
      <c r="A403" s="7" t="s">
        <v>426</v>
      </c>
      <c r="B403" s="8">
        <v>45692</v>
      </c>
      <c r="C403" s="7" t="s">
        <v>2</v>
      </c>
      <c r="D403" s="7" t="s">
        <v>22</v>
      </c>
      <c r="E403" s="7">
        <v>9</v>
      </c>
      <c r="F403" s="7">
        <v>64030</v>
      </c>
      <c r="G403" s="7">
        <v>33994</v>
      </c>
      <c r="H403" s="7" t="s">
        <v>36</v>
      </c>
    </row>
    <row r="404" spans="1:8">
      <c r="A404" s="7" t="s">
        <v>427</v>
      </c>
      <c r="B404" s="8">
        <v>45693</v>
      </c>
      <c r="C404" s="7" t="s">
        <v>26</v>
      </c>
      <c r="D404" s="7" t="s">
        <v>24</v>
      </c>
      <c r="E404" s="7">
        <v>8</v>
      </c>
      <c r="F404" s="7">
        <v>72930</v>
      </c>
      <c r="G404" s="7">
        <v>44590</v>
      </c>
      <c r="H404" s="7" t="s">
        <v>19</v>
      </c>
    </row>
    <row r="405" spans="1:8">
      <c r="A405" s="7" t="s">
        <v>428</v>
      </c>
      <c r="B405" s="8">
        <v>45693</v>
      </c>
      <c r="C405" s="7" t="s">
        <v>4</v>
      </c>
      <c r="D405" s="7" t="s">
        <v>16</v>
      </c>
      <c r="E405" s="7">
        <v>7</v>
      </c>
      <c r="F405" s="7">
        <v>50223</v>
      </c>
      <c r="G405" s="7">
        <v>16149</v>
      </c>
      <c r="H405" s="7" t="s">
        <v>30</v>
      </c>
    </row>
    <row r="406" spans="1:8">
      <c r="A406" s="7" t="s">
        <v>429</v>
      </c>
      <c r="B406" s="8">
        <v>45694</v>
      </c>
      <c r="C406" s="7" t="s">
        <v>1</v>
      </c>
      <c r="D406" s="7" t="s">
        <v>27</v>
      </c>
      <c r="E406" s="7">
        <v>2</v>
      </c>
      <c r="F406" s="7">
        <v>23929</v>
      </c>
      <c r="G406" s="7">
        <v>13485</v>
      </c>
      <c r="H406" s="7" t="s">
        <v>30</v>
      </c>
    </row>
    <row r="407" spans="1:8">
      <c r="A407" s="7" t="s">
        <v>430</v>
      </c>
      <c r="B407" s="8">
        <v>45694</v>
      </c>
      <c r="C407" s="7" t="s">
        <v>26</v>
      </c>
      <c r="D407" s="7" t="s">
        <v>27</v>
      </c>
      <c r="E407" s="7">
        <v>2</v>
      </c>
      <c r="F407" s="7">
        <v>9574</v>
      </c>
      <c r="G407" s="7">
        <v>19133</v>
      </c>
      <c r="H407" s="7" t="s">
        <v>19</v>
      </c>
    </row>
    <row r="408" spans="1:8">
      <c r="A408" s="7" t="s">
        <v>431</v>
      </c>
      <c r="B408" s="8">
        <v>45695</v>
      </c>
      <c r="C408" s="7" t="s">
        <v>26</v>
      </c>
      <c r="D408" s="7" t="s">
        <v>16</v>
      </c>
      <c r="E408" s="7">
        <v>7</v>
      </c>
      <c r="F408" s="7">
        <v>22920</v>
      </c>
      <c r="G408" s="7">
        <v>7530</v>
      </c>
      <c r="H408" s="7" t="s">
        <v>19</v>
      </c>
    </row>
    <row r="409" spans="1:8">
      <c r="A409" s="7" t="s">
        <v>432</v>
      </c>
      <c r="B409" s="8">
        <v>45695</v>
      </c>
      <c r="C409" s="7" t="s">
        <v>2</v>
      </c>
      <c r="D409" s="7" t="s">
        <v>24</v>
      </c>
      <c r="E409" s="7">
        <v>6</v>
      </c>
      <c r="F409" s="7">
        <v>64436</v>
      </c>
      <c r="G409" s="7">
        <v>27819</v>
      </c>
      <c r="H409" s="7" t="s">
        <v>19</v>
      </c>
    </row>
    <row r="410" spans="1:8">
      <c r="A410" s="7" t="s">
        <v>433</v>
      </c>
      <c r="B410" s="8">
        <v>45698</v>
      </c>
      <c r="C410" s="7" t="s">
        <v>2</v>
      </c>
      <c r="D410" s="7" t="s">
        <v>22</v>
      </c>
      <c r="E410" s="7">
        <v>2</v>
      </c>
      <c r="F410" s="7">
        <v>4858</v>
      </c>
      <c r="G410" s="7">
        <v>35865</v>
      </c>
      <c r="H410" s="7" t="s">
        <v>17</v>
      </c>
    </row>
    <row r="411" spans="1:8">
      <c r="A411" s="7" t="s">
        <v>434</v>
      </c>
      <c r="B411" s="8">
        <v>45698</v>
      </c>
      <c r="C411" s="7" t="s">
        <v>3</v>
      </c>
      <c r="D411" s="7" t="s">
        <v>27</v>
      </c>
      <c r="E411" s="7">
        <v>2</v>
      </c>
      <c r="F411" s="7">
        <v>59076</v>
      </c>
      <c r="G411" s="7">
        <v>8736</v>
      </c>
      <c r="H411" s="7" t="s">
        <v>19</v>
      </c>
    </row>
    <row r="412" spans="1:8">
      <c r="A412" s="7" t="s">
        <v>435</v>
      </c>
      <c r="B412" s="8">
        <v>45699</v>
      </c>
      <c r="C412" s="7" t="s">
        <v>2</v>
      </c>
      <c r="D412" s="7" t="s">
        <v>32</v>
      </c>
      <c r="E412" s="7">
        <v>5</v>
      </c>
      <c r="F412" s="7">
        <v>33861</v>
      </c>
      <c r="G412" s="7">
        <v>2898</v>
      </c>
      <c r="H412" s="7" t="s">
        <v>17</v>
      </c>
    </row>
    <row r="413" spans="1:8">
      <c r="A413" s="7" t="s">
        <v>436</v>
      </c>
      <c r="B413" s="8">
        <v>45701</v>
      </c>
      <c r="C413" s="7" t="s">
        <v>3</v>
      </c>
      <c r="D413" s="7" t="s">
        <v>24</v>
      </c>
      <c r="E413" s="7">
        <v>6</v>
      </c>
      <c r="F413" s="7">
        <v>43168</v>
      </c>
      <c r="G413" s="7">
        <v>1541</v>
      </c>
      <c r="H413" s="7" t="s">
        <v>30</v>
      </c>
    </row>
    <row r="414" spans="1:8">
      <c r="A414" s="7" t="s">
        <v>437</v>
      </c>
      <c r="B414" s="8">
        <v>45702</v>
      </c>
      <c r="C414" s="7" t="s">
        <v>3</v>
      </c>
      <c r="D414" s="7" t="s">
        <v>27</v>
      </c>
      <c r="E414" s="7">
        <v>8</v>
      </c>
      <c r="F414" s="7">
        <v>10882</v>
      </c>
      <c r="G414" s="7">
        <v>40110</v>
      </c>
      <c r="H414" s="7" t="s">
        <v>19</v>
      </c>
    </row>
    <row r="415" spans="1:8">
      <c r="A415" s="7" t="s">
        <v>438</v>
      </c>
      <c r="B415" s="8">
        <v>45705</v>
      </c>
      <c r="C415" s="7" t="s">
        <v>3</v>
      </c>
      <c r="D415" s="7" t="s">
        <v>16</v>
      </c>
      <c r="E415" s="7">
        <v>9</v>
      </c>
      <c r="F415" s="7">
        <v>73884</v>
      </c>
      <c r="G415" s="7">
        <v>17406</v>
      </c>
      <c r="H415" s="7" t="s">
        <v>36</v>
      </c>
    </row>
    <row r="416" spans="1:8">
      <c r="A416" s="7" t="s">
        <v>439</v>
      </c>
      <c r="B416" s="8">
        <v>45706</v>
      </c>
      <c r="C416" s="7" t="s">
        <v>1</v>
      </c>
      <c r="D416" s="7" t="s">
        <v>27</v>
      </c>
      <c r="E416" s="7">
        <v>9</v>
      </c>
      <c r="F416" s="7">
        <v>31674</v>
      </c>
      <c r="G416" s="7">
        <v>14489</v>
      </c>
      <c r="H416" s="7" t="s">
        <v>30</v>
      </c>
    </row>
    <row r="417" spans="1:8">
      <c r="A417" s="7" t="s">
        <v>440</v>
      </c>
      <c r="B417" s="8">
        <v>45707</v>
      </c>
      <c r="C417" s="7" t="s">
        <v>2</v>
      </c>
      <c r="D417" s="7" t="s">
        <v>22</v>
      </c>
      <c r="E417" s="7">
        <v>6</v>
      </c>
      <c r="F417" s="7">
        <v>40608</v>
      </c>
      <c r="G417" s="7">
        <v>4137</v>
      </c>
      <c r="H417" s="7" t="s">
        <v>30</v>
      </c>
    </row>
    <row r="418" spans="1:8">
      <c r="A418" s="7" t="s">
        <v>441</v>
      </c>
      <c r="B418" s="8">
        <v>45707</v>
      </c>
      <c r="C418" s="7" t="s">
        <v>4</v>
      </c>
      <c r="D418" s="7" t="s">
        <v>32</v>
      </c>
      <c r="E418" s="7">
        <v>7</v>
      </c>
      <c r="F418" s="7">
        <v>78311</v>
      </c>
      <c r="G418" s="7">
        <v>39547</v>
      </c>
      <c r="H418" s="7" t="s">
        <v>19</v>
      </c>
    </row>
    <row r="419" spans="1:8">
      <c r="A419" s="7" t="s">
        <v>442</v>
      </c>
      <c r="B419" s="8">
        <v>45708</v>
      </c>
      <c r="C419" s="7" t="s">
        <v>15</v>
      </c>
      <c r="D419" s="7" t="s">
        <v>27</v>
      </c>
      <c r="E419" s="7">
        <v>7</v>
      </c>
      <c r="F419" s="7">
        <v>34671</v>
      </c>
      <c r="G419" s="7">
        <v>17280</v>
      </c>
      <c r="H419" s="7" t="s">
        <v>36</v>
      </c>
    </row>
    <row r="420" spans="1:8">
      <c r="A420" s="7" t="s">
        <v>443</v>
      </c>
      <c r="B420" s="8">
        <v>45709</v>
      </c>
      <c r="C420" s="7" t="s">
        <v>26</v>
      </c>
      <c r="D420" s="7" t="s">
        <v>24</v>
      </c>
      <c r="E420" s="7">
        <v>6</v>
      </c>
      <c r="F420" s="7">
        <v>58284</v>
      </c>
      <c r="G420" s="7">
        <v>42796</v>
      </c>
      <c r="H420" s="7" t="s">
        <v>19</v>
      </c>
    </row>
    <row r="421" spans="1:8">
      <c r="A421" s="7" t="s">
        <v>444</v>
      </c>
      <c r="B421" s="8">
        <v>45710</v>
      </c>
      <c r="C421" s="7" t="s">
        <v>1</v>
      </c>
      <c r="D421" s="7" t="s">
        <v>22</v>
      </c>
      <c r="E421" s="7">
        <v>8</v>
      </c>
      <c r="F421" s="7">
        <v>17514</v>
      </c>
      <c r="G421" s="7">
        <v>13448</v>
      </c>
      <c r="H421" s="7" t="s">
        <v>30</v>
      </c>
    </row>
    <row r="422" spans="1:8">
      <c r="A422" s="7" t="s">
        <v>445</v>
      </c>
      <c r="B422" s="8">
        <v>45711</v>
      </c>
      <c r="C422" s="7" t="s">
        <v>15</v>
      </c>
      <c r="D422" s="7" t="s">
        <v>16</v>
      </c>
      <c r="E422" s="7">
        <v>3</v>
      </c>
      <c r="F422" s="7">
        <v>37414</v>
      </c>
      <c r="G422" s="7">
        <v>2828</v>
      </c>
      <c r="H422" s="7" t="s">
        <v>36</v>
      </c>
    </row>
    <row r="423" spans="1:8">
      <c r="A423" s="7" t="s">
        <v>446</v>
      </c>
      <c r="B423" s="8">
        <v>45711</v>
      </c>
      <c r="C423" s="7" t="s">
        <v>2</v>
      </c>
      <c r="D423" s="7" t="s">
        <v>27</v>
      </c>
      <c r="E423" s="7">
        <v>2</v>
      </c>
      <c r="F423" s="7">
        <v>28641</v>
      </c>
      <c r="G423" s="7">
        <v>31798</v>
      </c>
      <c r="H423" s="7" t="s">
        <v>36</v>
      </c>
    </row>
    <row r="424" spans="1:8">
      <c r="A424" s="7" t="s">
        <v>447</v>
      </c>
      <c r="B424" s="8">
        <v>45711</v>
      </c>
      <c r="C424" s="7" t="s">
        <v>4</v>
      </c>
      <c r="D424" s="7" t="s">
        <v>16</v>
      </c>
      <c r="E424" s="7">
        <v>1</v>
      </c>
      <c r="F424" s="7">
        <v>26535</v>
      </c>
      <c r="G424" s="7">
        <v>24551</v>
      </c>
      <c r="H424" s="7" t="s">
        <v>17</v>
      </c>
    </row>
    <row r="425" spans="1:8">
      <c r="A425" s="7" t="s">
        <v>448</v>
      </c>
      <c r="B425" s="8">
        <v>45713</v>
      </c>
      <c r="C425" s="7" t="s">
        <v>26</v>
      </c>
      <c r="D425" s="7" t="s">
        <v>24</v>
      </c>
      <c r="E425" s="7">
        <v>3</v>
      </c>
      <c r="F425" s="7">
        <v>31120</v>
      </c>
      <c r="G425" s="7">
        <v>34380</v>
      </c>
      <c r="H425" s="7" t="s">
        <v>17</v>
      </c>
    </row>
    <row r="426" spans="1:8">
      <c r="A426" s="7" t="s">
        <v>449</v>
      </c>
      <c r="B426" s="8">
        <v>45715</v>
      </c>
      <c r="C426" s="7" t="s">
        <v>15</v>
      </c>
      <c r="D426" s="7" t="s">
        <v>22</v>
      </c>
      <c r="E426" s="7">
        <v>9</v>
      </c>
      <c r="F426" s="7">
        <v>42279</v>
      </c>
      <c r="G426" s="7">
        <v>23263</v>
      </c>
      <c r="H426" s="7" t="s">
        <v>19</v>
      </c>
    </row>
    <row r="427" spans="1:8">
      <c r="A427" s="7" t="s">
        <v>450</v>
      </c>
      <c r="B427" s="8">
        <v>45719</v>
      </c>
      <c r="C427" s="7" t="s">
        <v>15</v>
      </c>
      <c r="D427" s="7" t="s">
        <v>27</v>
      </c>
      <c r="E427" s="7">
        <v>9</v>
      </c>
      <c r="F427" s="7">
        <v>64606</v>
      </c>
      <c r="G427" s="7">
        <v>39019</v>
      </c>
      <c r="H427" s="7" t="s">
        <v>30</v>
      </c>
    </row>
    <row r="428" spans="1:8">
      <c r="A428" s="7" t="s">
        <v>451</v>
      </c>
      <c r="B428" s="8">
        <v>45722</v>
      </c>
      <c r="C428" s="7" t="s">
        <v>2</v>
      </c>
      <c r="D428" s="7" t="s">
        <v>24</v>
      </c>
      <c r="E428" s="7">
        <v>4</v>
      </c>
      <c r="F428" s="7">
        <v>59682</v>
      </c>
      <c r="G428" s="7">
        <v>19313</v>
      </c>
      <c r="H428" s="7" t="s">
        <v>30</v>
      </c>
    </row>
    <row r="429" spans="1:8">
      <c r="A429" s="7" t="s">
        <v>452</v>
      </c>
      <c r="B429" s="8">
        <v>45722</v>
      </c>
      <c r="C429" s="7" t="s">
        <v>4</v>
      </c>
      <c r="D429" s="7" t="s">
        <v>24</v>
      </c>
      <c r="E429" s="7">
        <v>1</v>
      </c>
      <c r="F429" s="7">
        <v>31507</v>
      </c>
      <c r="G429" s="7">
        <v>26122</v>
      </c>
      <c r="H429" s="7" t="s">
        <v>17</v>
      </c>
    </row>
    <row r="430" spans="1:8">
      <c r="A430" s="7" t="s">
        <v>453</v>
      </c>
      <c r="B430" s="8">
        <v>45722</v>
      </c>
      <c r="C430" s="7" t="s">
        <v>3</v>
      </c>
      <c r="D430" s="7" t="s">
        <v>22</v>
      </c>
      <c r="E430" s="7">
        <v>6</v>
      </c>
      <c r="F430" s="7">
        <v>56033</v>
      </c>
      <c r="G430" s="7">
        <v>24952</v>
      </c>
      <c r="H430" s="7" t="s">
        <v>17</v>
      </c>
    </row>
    <row r="431" spans="1:8">
      <c r="A431" s="7" t="s">
        <v>454</v>
      </c>
      <c r="B431" s="8">
        <v>45725</v>
      </c>
      <c r="C431" s="7" t="s">
        <v>4</v>
      </c>
      <c r="D431" s="7" t="s">
        <v>22</v>
      </c>
      <c r="E431" s="7">
        <v>6</v>
      </c>
      <c r="F431" s="7">
        <v>27215</v>
      </c>
      <c r="G431" s="7">
        <v>27390</v>
      </c>
      <c r="H431" s="7" t="s">
        <v>17</v>
      </c>
    </row>
    <row r="432" spans="1:8">
      <c r="A432" s="7" t="s">
        <v>455</v>
      </c>
      <c r="B432" s="8">
        <v>45727</v>
      </c>
      <c r="C432" s="7" t="s">
        <v>26</v>
      </c>
      <c r="D432" s="7" t="s">
        <v>27</v>
      </c>
      <c r="E432" s="7">
        <v>2</v>
      </c>
      <c r="F432" s="7">
        <v>16077</v>
      </c>
      <c r="G432" s="7">
        <v>44541</v>
      </c>
      <c r="H432" s="7" t="s">
        <v>19</v>
      </c>
    </row>
    <row r="433" spans="1:8">
      <c r="A433" s="7" t="s">
        <v>456</v>
      </c>
      <c r="B433" s="8">
        <v>45729</v>
      </c>
      <c r="C433" s="7" t="s">
        <v>15</v>
      </c>
      <c r="D433" s="7" t="s">
        <v>22</v>
      </c>
      <c r="E433" s="7">
        <v>7</v>
      </c>
      <c r="F433" s="7">
        <v>5939</v>
      </c>
      <c r="G433" s="7">
        <v>17087</v>
      </c>
      <c r="H433" s="7" t="s">
        <v>17</v>
      </c>
    </row>
    <row r="434" spans="1:8">
      <c r="A434" s="7" t="s">
        <v>457</v>
      </c>
      <c r="B434" s="8">
        <v>45730</v>
      </c>
      <c r="C434" s="7" t="s">
        <v>1</v>
      </c>
      <c r="D434" s="7" t="s">
        <v>27</v>
      </c>
      <c r="E434" s="7">
        <v>6</v>
      </c>
      <c r="F434" s="7">
        <v>77952</v>
      </c>
      <c r="G434" s="7">
        <v>31575</v>
      </c>
      <c r="H434" s="7" t="s">
        <v>19</v>
      </c>
    </row>
    <row r="435" spans="1:8">
      <c r="A435" s="7" t="s">
        <v>458</v>
      </c>
      <c r="B435" s="8">
        <v>45731</v>
      </c>
      <c r="C435" s="7" t="s">
        <v>2</v>
      </c>
      <c r="D435" s="7" t="s">
        <v>16</v>
      </c>
      <c r="E435" s="7">
        <v>4</v>
      </c>
      <c r="F435" s="7">
        <v>64240</v>
      </c>
      <c r="G435" s="7">
        <v>3336</v>
      </c>
      <c r="H435" s="7" t="s">
        <v>17</v>
      </c>
    </row>
    <row r="436" spans="1:8">
      <c r="A436" s="7" t="s">
        <v>459</v>
      </c>
      <c r="B436" s="8">
        <v>45732</v>
      </c>
      <c r="C436" s="7" t="s">
        <v>15</v>
      </c>
      <c r="D436" s="7" t="s">
        <v>24</v>
      </c>
      <c r="E436" s="7">
        <v>6</v>
      </c>
      <c r="F436" s="7">
        <v>11254</v>
      </c>
      <c r="G436" s="7">
        <v>18015</v>
      </c>
      <c r="H436" s="7" t="s">
        <v>30</v>
      </c>
    </row>
    <row r="437" spans="1:8">
      <c r="A437" s="7" t="s">
        <v>460</v>
      </c>
      <c r="B437" s="8">
        <v>45732</v>
      </c>
      <c r="C437" s="7" t="s">
        <v>26</v>
      </c>
      <c r="D437" s="7" t="s">
        <v>24</v>
      </c>
      <c r="E437" s="7">
        <v>4</v>
      </c>
      <c r="F437" s="7">
        <v>71729</v>
      </c>
      <c r="G437" s="7">
        <v>22253</v>
      </c>
      <c r="H437" s="7" t="s">
        <v>19</v>
      </c>
    </row>
    <row r="438" spans="1:8">
      <c r="A438" s="7" t="s">
        <v>461</v>
      </c>
      <c r="B438" s="8">
        <v>45733</v>
      </c>
      <c r="C438" s="7" t="s">
        <v>4</v>
      </c>
      <c r="D438" s="7" t="s">
        <v>27</v>
      </c>
      <c r="E438" s="7">
        <v>5</v>
      </c>
      <c r="F438" s="7">
        <v>7221</v>
      </c>
      <c r="G438" s="7">
        <v>7304</v>
      </c>
      <c r="H438" s="7" t="s">
        <v>19</v>
      </c>
    </row>
    <row r="439" spans="1:8">
      <c r="A439" s="7" t="s">
        <v>462</v>
      </c>
      <c r="B439" s="8">
        <v>45734</v>
      </c>
      <c r="C439" s="7" t="s">
        <v>3</v>
      </c>
      <c r="D439" s="7" t="s">
        <v>24</v>
      </c>
      <c r="E439" s="7">
        <v>7</v>
      </c>
      <c r="F439" s="7">
        <v>50831</v>
      </c>
      <c r="G439" s="7">
        <v>31932</v>
      </c>
      <c r="H439" s="7" t="s">
        <v>30</v>
      </c>
    </row>
    <row r="440" spans="1:8">
      <c r="A440" s="7" t="s">
        <v>463</v>
      </c>
      <c r="B440" s="8">
        <v>45734</v>
      </c>
      <c r="C440" s="7" t="s">
        <v>15</v>
      </c>
      <c r="D440" s="7" t="s">
        <v>24</v>
      </c>
      <c r="E440" s="7">
        <v>1</v>
      </c>
      <c r="F440" s="7">
        <v>17031</v>
      </c>
      <c r="G440" s="7">
        <v>45517</v>
      </c>
      <c r="H440" s="7" t="s">
        <v>30</v>
      </c>
    </row>
    <row r="441" spans="1:8">
      <c r="A441" s="7" t="s">
        <v>464</v>
      </c>
      <c r="B441" s="8">
        <v>45735</v>
      </c>
      <c r="C441" s="7" t="s">
        <v>4</v>
      </c>
      <c r="D441" s="7" t="s">
        <v>16</v>
      </c>
      <c r="E441" s="7">
        <v>7</v>
      </c>
      <c r="F441" s="7">
        <v>40382</v>
      </c>
      <c r="G441" s="7">
        <v>10496</v>
      </c>
      <c r="H441" s="7" t="s">
        <v>19</v>
      </c>
    </row>
    <row r="442" spans="1:8">
      <c r="A442" s="7" t="s">
        <v>465</v>
      </c>
      <c r="B442" s="8">
        <v>45735</v>
      </c>
      <c r="C442" s="7" t="s">
        <v>2</v>
      </c>
      <c r="D442" s="7" t="s">
        <v>32</v>
      </c>
      <c r="E442" s="7">
        <v>8</v>
      </c>
      <c r="F442" s="7">
        <v>25096</v>
      </c>
      <c r="G442" s="7">
        <v>35947</v>
      </c>
      <c r="H442" s="7" t="s">
        <v>19</v>
      </c>
    </row>
    <row r="443" spans="1:8">
      <c r="A443" s="7" t="s">
        <v>466</v>
      </c>
      <c r="B443" s="8">
        <v>45736</v>
      </c>
      <c r="C443" s="7" t="s">
        <v>4</v>
      </c>
      <c r="D443" s="7" t="s">
        <v>16</v>
      </c>
      <c r="E443" s="7">
        <v>1</v>
      </c>
      <c r="F443" s="7">
        <v>51899</v>
      </c>
      <c r="G443" s="7">
        <v>2125</v>
      </c>
      <c r="H443" s="7" t="s">
        <v>36</v>
      </c>
    </row>
    <row r="444" spans="1:8">
      <c r="A444" s="7" t="s">
        <v>467</v>
      </c>
      <c r="B444" s="8">
        <v>45737</v>
      </c>
      <c r="C444" s="7" t="s">
        <v>1</v>
      </c>
      <c r="D444" s="7" t="s">
        <v>22</v>
      </c>
      <c r="E444" s="7">
        <v>8</v>
      </c>
      <c r="F444" s="7">
        <v>31824</v>
      </c>
      <c r="G444" s="7">
        <v>37735</v>
      </c>
      <c r="H444" s="7" t="s">
        <v>17</v>
      </c>
    </row>
    <row r="445" spans="1:8">
      <c r="A445" s="7" t="s">
        <v>468</v>
      </c>
      <c r="B445" s="8">
        <v>45737</v>
      </c>
      <c r="C445" s="7" t="s">
        <v>15</v>
      </c>
      <c r="D445" s="7" t="s">
        <v>22</v>
      </c>
      <c r="E445" s="7">
        <v>2</v>
      </c>
      <c r="F445" s="7">
        <v>22943</v>
      </c>
      <c r="G445" s="7">
        <v>15566</v>
      </c>
      <c r="H445" s="7" t="s">
        <v>30</v>
      </c>
    </row>
    <row r="446" spans="1:8">
      <c r="A446" s="7" t="s">
        <v>469</v>
      </c>
      <c r="B446" s="8">
        <v>45737</v>
      </c>
      <c r="C446" s="7" t="s">
        <v>3</v>
      </c>
      <c r="D446" s="7" t="s">
        <v>32</v>
      </c>
      <c r="E446" s="7">
        <v>7</v>
      </c>
      <c r="F446" s="7">
        <v>12789</v>
      </c>
      <c r="G446" s="7">
        <v>17087</v>
      </c>
      <c r="H446" s="7" t="s">
        <v>17</v>
      </c>
    </row>
    <row r="447" spans="1:8">
      <c r="A447" s="7" t="s">
        <v>470</v>
      </c>
      <c r="B447" s="8">
        <v>45737</v>
      </c>
      <c r="C447" s="7" t="s">
        <v>1</v>
      </c>
      <c r="D447" s="7" t="s">
        <v>24</v>
      </c>
      <c r="E447" s="7">
        <v>4</v>
      </c>
      <c r="F447" s="7">
        <v>13895</v>
      </c>
      <c r="G447" s="7">
        <v>31508</v>
      </c>
      <c r="H447" s="7" t="s">
        <v>19</v>
      </c>
    </row>
    <row r="448" spans="1:8">
      <c r="A448" s="7" t="s">
        <v>471</v>
      </c>
      <c r="B448" s="8">
        <v>45737</v>
      </c>
      <c r="C448" s="7" t="s">
        <v>26</v>
      </c>
      <c r="D448" s="7" t="s">
        <v>32</v>
      </c>
      <c r="E448" s="7">
        <v>9</v>
      </c>
      <c r="F448" s="7">
        <v>31182</v>
      </c>
      <c r="G448" s="7">
        <v>31682</v>
      </c>
      <c r="H448" s="7" t="s">
        <v>19</v>
      </c>
    </row>
    <row r="449" spans="1:8">
      <c r="A449" s="7" t="s">
        <v>472</v>
      </c>
      <c r="B449" s="8">
        <v>45739</v>
      </c>
      <c r="C449" s="7" t="s">
        <v>26</v>
      </c>
      <c r="D449" s="7" t="s">
        <v>24</v>
      </c>
      <c r="E449" s="7">
        <v>6</v>
      </c>
      <c r="F449" s="7">
        <v>52661</v>
      </c>
      <c r="G449" s="7">
        <v>26817</v>
      </c>
      <c r="H449" s="7" t="s">
        <v>19</v>
      </c>
    </row>
    <row r="450" spans="1:8">
      <c r="A450" s="7" t="s">
        <v>473</v>
      </c>
      <c r="B450" s="8">
        <v>45740</v>
      </c>
      <c r="C450" s="7" t="s">
        <v>2</v>
      </c>
      <c r="D450" s="7" t="s">
        <v>24</v>
      </c>
      <c r="E450" s="7">
        <v>8</v>
      </c>
      <c r="F450" s="7">
        <v>18125</v>
      </c>
      <c r="G450" s="7">
        <v>19994</v>
      </c>
      <c r="H450" s="7" t="s">
        <v>36</v>
      </c>
    </row>
    <row r="451" spans="1:8">
      <c r="A451" s="7" t="s">
        <v>474</v>
      </c>
      <c r="B451" s="8">
        <v>45742</v>
      </c>
      <c r="C451" s="7" t="s">
        <v>2</v>
      </c>
      <c r="D451" s="7" t="s">
        <v>24</v>
      </c>
      <c r="E451" s="7">
        <v>1</v>
      </c>
      <c r="F451" s="7">
        <v>23791</v>
      </c>
      <c r="G451" s="7">
        <v>1781</v>
      </c>
      <c r="H451" s="7" t="s">
        <v>30</v>
      </c>
    </row>
    <row r="452" spans="1:8">
      <c r="A452" s="7" t="s">
        <v>475</v>
      </c>
      <c r="B452" s="8">
        <v>45744</v>
      </c>
      <c r="C452" s="7" t="s">
        <v>15</v>
      </c>
      <c r="D452" s="7" t="s">
        <v>32</v>
      </c>
      <c r="E452" s="7">
        <v>3</v>
      </c>
      <c r="F452" s="7">
        <v>16552</v>
      </c>
      <c r="G452" s="7">
        <v>38991</v>
      </c>
      <c r="H452" s="7" t="s">
        <v>17</v>
      </c>
    </row>
    <row r="453" spans="1:8">
      <c r="A453" s="7" t="s">
        <v>476</v>
      </c>
      <c r="B453" s="8">
        <v>45744</v>
      </c>
      <c r="C453" s="7" t="s">
        <v>1</v>
      </c>
      <c r="D453" s="7" t="s">
        <v>24</v>
      </c>
      <c r="E453" s="7">
        <v>9</v>
      </c>
      <c r="F453" s="7">
        <v>51479</v>
      </c>
      <c r="G453" s="7">
        <v>31112</v>
      </c>
      <c r="H453" s="7" t="s">
        <v>36</v>
      </c>
    </row>
    <row r="454" spans="1:8">
      <c r="A454" s="7" t="s">
        <v>477</v>
      </c>
      <c r="B454" s="8">
        <v>45746</v>
      </c>
      <c r="C454" s="7" t="s">
        <v>3</v>
      </c>
      <c r="D454" s="7" t="s">
        <v>22</v>
      </c>
      <c r="E454" s="7">
        <v>9</v>
      </c>
      <c r="F454" s="7">
        <v>33674</v>
      </c>
      <c r="G454" s="7">
        <v>10596</v>
      </c>
      <c r="H454" s="7" t="s">
        <v>36</v>
      </c>
    </row>
    <row r="455" spans="1:8">
      <c r="A455" s="7" t="s">
        <v>478</v>
      </c>
      <c r="B455" s="8">
        <v>45747</v>
      </c>
      <c r="C455" s="7" t="s">
        <v>15</v>
      </c>
      <c r="D455" s="7" t="s">
        <v>32</v>
      </c>
      <c r="E455" s="7">
        <v>4</v>
      </c>
      <c r="F455" s="7">
        <v>30234</v>
      </c>
      <c r="G455" s="7">
        <v>37727</v>
      </c>
      <c r="H455" s="7" t="s">
        <v>17</v>
      </c>
    </row>
    <row r="456" spans="1:8">
      <c r="A456" s="7" t="s">
        <v>479</v>
      </c>
      <c r="B456" s="8">
        <v>45747</v>
      </c>
      <c r="C456" s="7" t="s">
        <v>4</v>
      </c>
      <c r="D456" s="7" t="s">
        <v>22</v>
      </c>
      <c r="E456" s="7">
        <v>1</v>
      </c>
      <c r="F456" s="7">
        <v>65950</v>
      </c>
      <c r="G456" s="7">
        <v>42903</v>
      </c>
      <c r="H456" s="7" t="s">
        <v>30</v>
      </c>
    </row>
    <row r="457" spans="1:8">
      <c r="A457" s="7" t="s">
        <v>480</v>
      </c>
      <c r="B457" s="8">
        <v>45747</v>
      </c>
      <c r="C457" s="7" t="s">
        <v>3</v>
      </c>
      <c r="D457" s="7" t="s">
        <v>22</v>
      </c>
      <c r="E457" s="7">
        <v>2</v>
      </c>
      <c r="F457" s="7">
        <v>28880</v>
      </c>
      <c r="G457" s="7">
        <v>20584</v>
      </c>
      <c r="H457" s="7" t="s">
        <v>30</v>
      </c>
    </row>
    <row r="458" spans="1:8">
      <c r="A458" s="7" t="s">
        <v>481</v>
      </c>
      <c r="B458" s="8">
        <v>45750</v>
      </c>
      <c r="C458" s="7" t="s">
        <v>26</v>
      </c>
      <c r="D458" s="7" t="s">
        <v>22</v>
      </c>
      <c r="E458" s="7">
        <v>8</v>
      </c>
      <c r="F458" s="7">
        <v>79634</v>
      </c>
      <c r="G458" s="7">
        <v>47486</v>
      </c>
      <c r="H458" s="7" t="s">
        <v>17</v>
      </c>
    </row>
    <row r="459" spans="1:8">
      <c r="A459" s="7" t="s">
        <v>482</v>
      </c>
      <c r="B459" s="8">
        <v>45751</v>
      </c>
      <c r="C459" s="7" t="s">
        <v>26</v>
      </c>
      <c r="D459" s="7" t="s">
        <v>27</v>
      </c>
      <c r="E459" s="7">
        <v>7</v>
      </c>
      <c r="F459" s="7">
        <v>67703</v>
      </c>
      <c r="G459" s="7">
        <v>23663</v>
      </c>
      <c r="H459" s="7" t="s">
        <v>36</v>
      </c>
    </row>
    <row r="460" spans="1:8">
      <c r="A460" s="7" t="s">
        <v>483</v>
      </c>
      <c r="B460" s="8">
        <v>45751</v>
      </c>
      <c r="C460" s="7" t="s">
        <v>26</v>
      </c>
      <c r="D460" s="7" t="s">
        <v>22</v>
      </c>
      <c r="E460" s="7">
        <v>6</v>
      </c>
      <c r="F460" s="7">
        <v>77316</v>
      </c>
      <c r="G460" s="7">
        <v>10587</v>
      </c>
      <c r="H460" s="7" t="s">
        <v>30</v>
      </c>
    </row>
    <row r="461" spans="1:8">
      <c r="A461" s="7" t="s">
        <v>484</v>
      </c>
      <c r="B461" s="8">
        <v>45752</v>
      </c>
      <c r="C461" s="7" t="s">
        <v>15</v>
      </c>
      <c r="D461" s="7" t="s">
        <v>24</v>
      </c>
      <c r="E461" s="7">
        <v>5</v>
      </c>
      <c r="F461" s="7">
        <v>68511</v>
      </c>
      <c r="G461" s="7">
        <v>6105</v>
      </c>
      <c r="H461" s="7" t="s">
        <v>36</v>
      </c>
    </row>
    <row r="462" spans="1:8">
      <c r="A462" s="7" t="s">
        <v>485</v>
      </c>
      <c r="B462" s="8">
        <v>45752</v>
      </c>
      <c r="C462" s="7" t="s">
        <v>2</v>
      </c>
      <c r="D462" s="7" t="s">
        <v>27</v>
      </c>
      <c r="E462" s="7">
        <v>4</v>
      </c>
      <c r="F462" s="7">
        <v>38567</v>
      </c>
      <c r="G462" s="7">
        <v>15289</v>
      </c>
      <c r="H462" s="7" t="s">
        <v>17</v>
      </c>
    </row>
    <row r="463" spans="1:8">
      <c r="A463" s="7" t="s">
        <v>486</v>
      </c>
      <c r="B463" s="8">
        <v>45753</v>
      </c>
      <c r="C463" s="7" t="s">
        <v>3</v>
      </c>
      <c r="D463" s="7" t="s">
        <v>22</v>
      </c>
      <c r="E463" s="7">
        <v>4</v>
      </c>
      <c r="F463" s="7">
        <v>73088</v>
      </c>
      <c r="G463" s="7">
        <v>12005</v>
      </c>
      <c r="H463" s="7" t="s">
        <v>30</v>
      </c>
    </row>
    <row r="464" spans="1:8">
      <c r="A464" s="7" t="s">
        <v>487</v>
      </c>
      <c r="B464" s="8">
        <v>45753</v>
      </c>
      <c r="C464" s="7" t="s">
        <v>3</v>
      </c>
      <c r="D464" s="7" t="s">
        <v>32</v>
      </c>
      <c r="E464" s="7">
        <v>6</v>
      </c>
      <c r="F464" s="7">
        <v>40032</v>
      </c>
      <c r="G464" s="7">
        <v>6017</v>
      </c>
      <c r="H464" s="7" t="s">
        <v>36</v>
      </c>
    </row>
    <row r="465" spans="1:8">
      <c r="A465" s="7" t="s">
        <v>488</v>
      </c>
      <c r="B465" s="8">
        <v>45754</v>
      </c>
      <c r="C465" s="7" t="s">
        <v>15</v>
      </c>
      <c r="D465" s="7" t="s">
        <v>32</v>
      </c>
      <c r="E465" s="7">
        <v>1</v>
      </c>
      <c r="F465" s="7">
        <v>61131</v>
      </c>
      <c r="G465" s="7">
        <v>29228</v>
      </c>
      <c r="H465" s="7" t="s">
        <v>30</v>
      </c>
    </row>
    <row r="466" spans="1:8">
      <c r="A466" s="7" t="s">
        <v>489</v>
      </c>
      <c r="B466" s="8">
        <v>45755</v>
      </c>
      <c r="C466" s="7" t="s">
        <v>3</v>
      </c>
      <c r="D466" s="7" t="s">
        <v>27</v>
      </c>
      <c r="E466" s="7">
        <v>2</v>
      </c>
      <c r="F466" s="7">
        <v>9608</v>
      </c>
      <c r="G466" s="7">
        <v>3520</v>
      </c>
      <c r="H466" s="7" t="s">
        <v>30</v>
      </c>
    </row>
    <row r="467" spans="1:8">
      <c r="A467" s="7" t="s">
        <v>490</v>
      </c>
      <c r="B467" s="8">
        <v>45755</v>
      </c>
      <c r="C467" s="7" t="s">
        <v>1</v>
      </c>
      <c r="D467" s="7" t="s">
        <v>32</v>
      </c>
      <c r="E467" s="7">
        <v>4</v>
      </c>
      <c r="F467" s="7">
        <v>59974</v>
      </c>
      <c r="G467" s="7">
        <v>14171</v>
      </c>
      <c r="H467" s="7" t="s">
        <v>30</v>
      </c>
    </row>
    <row r="468" spans="1:8">
      <c r="A468" s="7" t="s">
        <v>491</v>
      </c>
      <c r="B468" s="8">
        <v>45758</v>
      </c>
      <c r="C468" s="7" t="s">
        <v>2</v>
      </c>
      <c r="D468" s="7" t="s">
        <v>24</v>
      </c>
      <c r="E468" s="7">
        <v>9</v>
      </c>
      <c r="F468" s="7">
        <v>54561</v>
      </c>
      <c r="G468" s="7">
        <v>45638</v>
      </c>
      <c r="H468" s="7" t="s">
        <v>30</v>
      </c>
    </row>
    <row r="469" spans="1:8">
      <c r="A469" s="7" t="s">
        <v>492</v>
      </c>
      <c r="B469" s="8">
        <v>45760</v>
      </c>
      <c r="C469" s="7" t="s">
        <v>3</v>
      </c>
      <c r="D469" s="7" t="s">
        <v>27</v>
      </c>
      <c r="E469" s="7">
        <v>9</v>
      </c>
      <c r="F469" s="7">
        <v>77925</v>
      </c>
      <c r="G469" s="7">
        <v>40112</v>
      </c>
      <c r="H469" s="7" t="s">
        <v>17</v>
      </c>
    </row>
    <row r="470" spans="1:8">
      <c r="A470" s="7" t="s">
        <v>493</v>
      </c>
      <c r="B470" s="8">
        <v>45761</v>
      </c>
      <c r="C470" s="7" t="s">
        <v>15</v>
      </c>
      <c r="D470" s="7" t="s">
        <v>22</v>
      </c>
      <c r="E470" s="7">
        <v>1</v>
      </c>
      <c r="F470" s="7">
        <v>72466</v>
      </c>
      <c r="G470" s="7">
        <v>35622</v>
      </c>
      <c r="H470" s="7" t="s">
        <v>19</v>
      </c>
    </row>
    <row r="471" spans="1:8">
      <c r="A471" s="7" t="s">
        <v>494</v>
      </c>
      <c r="B471" s="8">
        <v>45761</v>
      </c>
      <c r="C471" s="7" t="s">
        <v>3</v>
      </c>
      <c r="D471" s="7" t="s">
        <v>22</v>
      </c>
      <c r="E471" s="7">
        <v>9</v>
      </c>
      <c r="F471" s="7">
        <v>10642</v>
      </c>
      <c r="G471" s="7">
        <v>1645</v>
      </c>
      <c r="H471" s="7" t="s">
        <v>30</v>
      </c>
    </row>
    <row r="472" spans="1:8">
      <c r="A472" s="7" t="s">
        <v>495</v>
      </c>
      <c r="B472" s="8">
        <v>45762</v>
      </c>
      <c r="C472" s="7" t="s">
        <v>26</v>
      </c>
      <c r="D472" s="7" t="s">
        <v>27</v>
      </c>
      <c r="E472" s="7">
        <v>8</v>
      </c>
      <c r="F472" s="7">
        <v>2961</v>
      </c>
      <c r="G472" s="7">
        <v>29795</v>
      </c>
      <c r="H472" s="7" t="s">
        <v>30</v>
      </c>
    </row>
    <row r="473" spans="1:8">
      <c r="A473" s="7" t="s">
        <v>496</v>
      </c>
      <c r="B473" s="8">
        <v>45763</v>
      </c>
      <c r="C473" s="7" t="s">
        <v>15</v>
      </c>
      <c r="D473" s="7" t="s">
        <v>27</v>
      </c>
      <c r="E473" s="7">
        <v>8</v>
      </c>
      <c r="F473" s="7">
        <v>36541</v>
      </c>
      <c r="G473" s="7">
        <v>28386</v>
      </c>
      <c r="H473" s="7" t="s">
        <v>30</v>
      </c>
    </row>
    <row r="474" spans="1:8">
      <c r="A474" s="7" t="s">
        <v>497</v>
      </c>
      <c r="B474" s="8">
        <v>45763</v>
      </c>
      <c r="C474" s="7" t="s">
        <v>2</v>
      </c>
      <c r="D474" s="7" t="s">
        <v>24</v>
      </c>
      <c r="E474" s="7">
        <v>9</v>
      </c>
      <c r="F474" s="7">
        <v>52790</v>
      </c>
      <c r="G474" s="7">
        <v>23360</v>
      </c>
      <c r="H474" s="7" t="s">
        <v>17</v>
      </c>
    </row>
    <row r="475" spans="1:8">
      <c r="A475" s="7" t="s">
        <v>498</v>
      </c>
      <c r="B475" s="8">
        <v>45764</v>
      </c>
      <c r="C475" s="7" t="s">
        <v>4</v>
      </c>
      <c r="D475" s="7" t="s">
        <v>32</v>
      </c>
      <c r="E475" s="7">
        <v>3</v>
      </c>
      <c r="F475" s="7">
        <v>11199</v>
      </c>
      <c r="G475" s="7">
        <v>41785</v>
      </c>
      <c r="H475" s="7" t="s">
        <v>30</v>
      </c>
    </row>
    <row r="476" spans="1:8">
      <c r="A476" s="7" t="s">
        <v>499</v>
      </c>
      <c r="B476" s="8">
        <v>45764</v>
      </c>
      <c r="C476" s="7" t="s">
        <v>1</v>
      </c>
      <c r="D476" s="7" t="s">
        <v>27</v>
      </c>
      <c r="E476" s="7">
        <v>6</v>
      </c>
      <c r="F476" s="7">
        <v>51696</v>
      </c>
      <c r="G476" s="7">
        <v>49563</v>
      </c>
      <c r="H476" s="7" t="s">
        <v>36</v>
      </c>
    </row>
    <row r="477" spans="1:8">
      <c r="A477" s="7" t="s">
        <v>500</v>
      </c>
      <c r="B477" s="8">
        <v>45764</v>
      </c>
      <c r="C477" s="7" t="s">
        <v>4</v>
      </c>
      <c r="D477" s="7" t="s">
        <v>32</v>
      </c>
      <c r="E477" s="7">
        <v>2</v>
      </c>
      <c r="F477" s="7">
        <v>33284</v>
      </c>
      <c r="G477" s="7">
        <v>40901</v>
      </c>
      <c r="H477" s="7" t="s">
        <v>30</v>
      </c>
    </row>
    <row r="478" spans="1:8">
      <c r="A478" s="7" t="s">
        <v>501</v>
      </c>
      <c r="B478" s="8">
        <v>45766</v>
      </c>
      <c r="C478" s="7" t="s">
        <v>4</v>
      </c>
      <c r="D478" s="7" t="s">
        <v>16</v>
      </c>
      <c r="E478" s="7">
        <v>7</v>
      </c>
      <c r="F478" s="7">
        <v>4212</v>
      </c>
      <c r="G478" s="7">
        <v>49231</v>
      </c>
      <c r="H478" s="7" t="s">
        <v>30</v>
      </c>
    </row>
    <row r="479" spans="1:8">
      <c r="A479" s="7" t="s">
        <v>502</v>
      </c>
      <c r="B479" s="8">
        <v>45766</v>
      </c>
      <c r="C479" s="7" t="s">
        <v>15</v>
      </c>
      <c r="D479" s="7" t="s">
        <v>16</v>
      </c>
      <c r="E479" s="7">
        <v>3</v>
      </c>
      <c r="F479" s="7">
        <v>61446</v>
      </c>
      <c r="G479" s="7">
        <v>25570</v>
      </c>
      <c r="H479" s="7" t="s">
        <v>19</v>
      </c>
    </row>
    <row r="480" spans="1:8">
      <c r="A480" s="7" t="s">
        <v>503</v>
      </c>
      <c r="B480" s="8">
        <v>45767</v>
      </c>
      <c r="C480" s="7" t="s">
        <v>1</v>
      </c>
      <c r="D480" s="7" t="s">
        <v>16</v>
      </c>
      <c r="E480" s="7">
        <v>7</v>
      </c>
      <c r="F480" s="7">
        <v>4226</v>
      </c>
      <c r="G480" s="7">
        <v>30545</v>
      </c>
      <c r="H480" s="7" t="s">
        <v>30</v>
      </c>
    </row>
    <row r="481" spans="1:8">
      <c r="A481" s="7" t="s">
        <v>504</v>
      </c>
      <c r="B481" s="8">
        <v>45767</v>
      </c>
      <c r="C481" s="7" t="s">
        <v>15</v>
      </c>
      <c r="D481" s="7" t="s">
        <v>16</v>
      </c>
      <c r="E481" s="7">
        <v>4</v>
      </c>
      <c r="F481" s="7">
        <v>57522</v>
      </c>
      <c r="G481" s="7">
        <v>19658</v>
      </c>
      <c r="H481" s="7" t="s">
        <v>19</v>
      </c>
    </row>
    <row r="482" spans="1:8">
      <c r="A482" s="7" t="s">
        <v>505</v>
      </c>
      <c r="B482" s="8">
        <v>45768</v>
      </c>
      <c r="C482" s="7" t="s">
        <v>3</v>
      </c>
      <c r="D482" s="7" t="s">
        <v>27</v>
      </c>
      <c r="E482" s="7">
        <v>1</v>
      </c>
      <c r="F482" s="7">
        <v>36878</v>
      </c>
      <c r="G482" s="7">
        <v>16379</v>
      </c>
      <c r="H482" s="7" t="s">
        <v>36</v>
      </c>
    </row>
    <row r="483" spans="1:8">
      <c r="A483" s="7" t="s">
        <v>506</v>
      </c>
      <c r="B483" s="8">
        <v>45768</v>
      </c>
      <c r="C483" s="7" t="s">
        <v>3</v>
      </c>
      <c r="D483" s="7" t="s">
        <v>27</v>
      </c>
      <c r="E483" s="7">
        <v>9</v>
      </c>
      <c r="F483" s="7">
        <v>6478</v>
      </c>
      <c r="G483" s="7">
        <v>12439</v>
      </c>
      <c r="H483" s="7" t="s">
        <v>36</v>
      </c>
    </row>
    <row r="484" spans="1:8">
      <c r="A484" s="7" t="s">
        <v>507</v>
      </c>
      <c r="B484" s="8">
        <v>45769</v>
      </c>
      <c r="C484" s="7" t="s">
        <v>1</v>
      </c>
      <c r="D484" s="7" t="s">
        <v>22</v>
      </c>
      <c r="E484" s="7">
        <v>2</v>
      </c>
      <c r="F484" s="7">
        <v>10456</v>
      </c>
      <c r="G484" s="7">
        <v>39314</v>
      </c>
      <c r="H484" s="7" t="s">
        <v>19</v>
      </c>
    </row>
    <row r="485" spans="1:8">
      <c r="A485" s="7" t="s">
        <v>508</v>
      </c>
      <c r="B485" s="8">
        <v>45772</v>
      </c>
      <c r="C485" s="7" t="s">
        <v>4</v>
      </c>
      <c r="D485" s="7" t="s">
        <v>16</v>
      </c>
      <c r="E485" s="7">
        <v>4</v>
      </c>
      <c r="F485" s="7">
        <v>77860</v>
      </c>
      <c r="G485" s="7">
        <v>25765</v>
      </c>
      <c r="H485" s="7" t="s">
        <v>19</v>
      </c>
    </row>
    <row r="486" spans="1:8">
      <c r="A486" s="7" t="s">
        <v>509</v>
      </c>
      <c r="B486" s="8">
        <v>45772</v>
      </c>
      <c r="C486" s="7" t="s">
        <v>15</v>
      </c>
      <c r="D486" s="7" t="s">
        <v>22</v>
      </c>
      <c r="E486" s="7">
        <v>8</v>
      </c>
      <c r="F486" s="7">
        <v>39214</v>
      </c>
      <c r="G486" s="7">
        <v>11487</v>
      </c>
      <c r="H486" s="7" t="s">
        <v>36</v>
      </c>
    </row>
    <row r="487" spans="1:8">
      <c r="A487" s="7" t="s">
        <v>510</v>
      </c>
      <c r="B487" s="8">
        <v>45775</v>
      </c>
      <c r="C487" s="7" t="s">
        <v>15</v>
      </c>
      <c r="D487" s="7" t="s">
        <v>27</v>
      </c>
      <c r="E487" s="7">
        <v>8</v>
      </c>
      <c r="F487" s="7">
        <v>45476</v>
      </c>
      <c r="G487" s="7">
        <v>49868</v>
      </c>
      <c r="H487" s="7" t="s">
        <v>19</v>
      </c>
    </row>
    <row r="488" spans="1:8">
      <c r="A488" s="7" t="s">
        <v>511</v>
      </c>
      <c r="B488" s="8">
        <v>45775</v>
      </c>
      <c r="C488" s="7" t="s">
        <v>26</v>
      </c>
      <c r="D488" s="7" t="s">
        <v>27</v>
      </c>
      <c r="E488" s="7">
        <v>8</v>
      </c>
      <c r="F488" s="7">
        <v>49730</v>
      </c>
      <c r="G488" s="7">
        <v>27170</v>
      </c>
      <c r="H488" s="7" t="s">
        <v>17</v>
      </c>
    </row>
    <row r="489" spans="1:8">
      <c r="A489" s="7" t="s">
        <v>512</v>
      </c>
      <c r="B489" s="8">
        <v>45776</v>
      </c>
      <c r="C489" s="7" t="s">
        <v>3</v>
      </c>
      <c r="D489" s="7" t="s">
        <v>32</v>
      </c>
      <c r="E489" s="7">
        <v>8</v>
      </c>
      <c r="F489" s="7">
        <v>6971</v>
      </c>
      <c r="G489" s="7">
        <v>20363</v>
      </c>
      <c r="H489" s="7" t="s">
        <v>19</v>
      </c>
    </row>
    <row r="490" spans="1:8">
      <c r="A490" s="7" t="s">
        <v>513</v>
      </c>
      <c r="B490" s="8">
        <v>45776</v>
      </c>
      <c r="C490" s="7" t="s">
        <v>15</v>
      </c>
      <c r="D490" s="7" t="s">
        <v>27</v>
      </c>
      <c r="E490" s="7">
        <v>8</v>
      </c>
      <c r="F490" s="7">
        <v>19701</v>
      </c>
      <c r="G490" s="7">
        <v>38051</v>
      </c>
      <c r="H490" s="7" t="s">
        <v>19</v>
      </c>
    </row>
    <row r="491" spans="1:8">
      <c r="A491" s="7" t="s">
        <v>514</v>
      </c>
      <c r="B491" s="8">
        <v>45776</v>
      </c>
      <c r="C491" s="7" t="s">
        <v>3</v>
      </c>
      <c r="D491" s="7" t="s">
        <v>16</v>
      </c>
      <c r="E491" s="7">
        <v>6</v>
      </c>
      <c r="F491" s="7">
        <v>15216</v>
      </c>
      <c r="G491" s="7">
        <v>45629</v>
      </c>
      <c r="H491" s="7" t="s">
        <v>19</v>
      </c>
    </row>
    <row r="492" spans="1:8">
      <c r="A492" s="7" t="s">
        <v>515</v>
      </c>
      <c r="B492" s="8">
        <v>45780</v>
      </c>
      <c r="C492" s="7" t="s">
        <v>4</v>
      </c>
      <c r="D492" s="7" t="s">
        <v>16</v>
      </c>
      <c r="E492" s="7">
        <v>9</v>
      </c>
      <c r="F492" s="7">
        <v>67418</v>
      </c>
      <c r="G492" s="7">
        <v>35881</v>
      </c>
      <c r="H492" s="7" t="s">
        <v>19</v>
      </c>
    </row>
    <row r="493" spans="1:8">
      <c r="A493" s="7" t="s">
        <v>516</v>
      </c>
      <c r="B493" s="8">
        <v>45781</v>
      </c>
      <c r="C493" s="7" t="s">
        <v>26</v>
      </c>
      <c r="D493" s="7" t="s">
        <v>16</v>
      </c>
      <c r="E493" s="7">
        <v>9</v>
      </c>
      <c r="F493" s="7">
        <v>68888</v>
      </c>
      <c r="G493" s="7">
        <v>19394</v>
      </c>
      <c r="H493" s="7" t="s">
        <v>17</v>
      </c>
    </row>
    <row r="494" spans="1:8">
      <c r="A494" s="7" t="s">
        <v>517</v>
      </c>
      <c r="B494" s="8">
        <v>45781</v>
      </c>
      <c r="C494" s="7" t="s">
        <v>4</v>
      </c>
      <c r="D494" s="7" t="s">
        <v>22</v>
      </c>
      <c r="E494" s="7">
        <v>2</v>
      </c>
      <c r="F494" s="7">
        <v>31341</v>
      </c>
      <c r="G494" s="7">
        <v>23424</v>
      </c>
      <c r="H494" s="7" t="s">
        <v>19</v>
      </c>
    </row>
    <row r="495" spans="1:8">
      <c r="A495" s="7" t="s">
        <v>518</v>
      </c>
      <c r="B495" s="8">
        <v>45783</v>
      </c>
      <c r="C495" s="7" t="s">
        <v>3</v>
      </c>
      <c r="D495" s="7" t="s">
        <v>24</v>
      </c>
      <c r="E495" s="7">
        <v>2</v>
      </c>
      <c r="F495" s="7">
        <v>61076</v>
      </c>
      <c r="G495" s="7">
        <v>19450</v>
      </c>
      <c r="H495" s="7" t="s">
        <v>30</v>
      </c>
    </row>
    <row r="496" spans="1:8">
      <c r="A496" s="7" t="s">
        <v>519</v>
      </c>
      <c r="B496" s="8">
        <v>45783</v>
      </c>
      <c r="C496" s="7" t="s">
        <v>1</v>
      </c>
      <c r="D496" s="7" t="s">
        <v>24</v>
      </c>
      <c r="E496" s="7">
        <v>3</v>
      </c>
      <c r="F496" s="7">
        <v>7727</v>
      </c>
      <c r="G496" s="7">
        <v>20194</v>
      </c>
      <c r="H496" s="7" t="s">
        <v>19</v>
      </c>
    </row>
    <row r="497" spans="1:8">
      <c r="A497" s="7" t="s">
        <v>520</v>
      </c>
      <c r="B497" s="8">
        <v>45784</v>
      </c>
      <c r="C497" s="7" t="s">
        <v>2</v>
      </c>
      <c r="D497" s="7" t="s">
        <v>27</v>
      </c>
      <c r="E497" s="7">
        <v>1</v>
      </c>
      <c r="F497" s="7">
        <v>34568</v>
      </c>
      <c r="G497" s="7">
        <v>49831</v>
      </c>
      <c r="H497" s="7" t="s">
        <v>19</v>
      </c>
    </row>
    <row r="498" spans="1:8">
      <c r="A498" s="7" t="s">
        <v>521</v>
      </c>
      <c r="B498" s="8">
        <v>45788</v>
      </c>
      <c r="C498" s="7" t="s">
        <v>15</v>
      </c>
      <c r="D498" s="7" t="s">
        <v>16</v>
      </c>
      <c r="E498" s="7">
        <v>1</v>
      </c>
      <c r="F498" s="7">
        <v>24726</v>
      </c>
      <c r="G498" s="7">
        <v>26000</v>
      </c>
      <c r="H498" s="7" t="s">
        <v>19</v>
      </c>
    </row>
    <row r="499" spans="1:8">
      <c r="A499" s="7" t="s">
        <v>522</v>
      </c>
      <c r="B499" s="8">
        <v>45788</v>
      </c>
      <c r="C499" s="7" t="s">
        <v>4</v>
      </c>
      <c r="D499" s="7" t="s">
        <v>16</v>
      </c>
      <c r="E499" s="7">
        <v>1</v>
      </c>
      <c r="F499" s="7">
        <v>46338</v>
      </c>
      <c r="G499" s="7">
        <v>13576</v>
      </c>
      <c r="H499" s="7" t="s">
        <v>19</v>
      </c>
    </row>
    <row r="500" spans="1:8">
      <c r="A500" s="7" t="s">
        <v>523</v>
      </c>
      <c r="B500" s="8">
        <v>45790</v>
      </c>
      <c r="C500" s="7" t="s">
        <v>1</v>
      </c>
      <c r="D500" s="7" t="s">
        <v>22</v>
      </c>
      <c r="E500" s="7">
        <v>4</v>
      </c>
      <c r="F500" s="7">
        <v>69076</v>
      </c>
      <c r="G500" s="7">
        <v>17184</v>
      </c>
      <c r="H500" s="7" t="s">
        <v>36</v>
      </c>
    </row>
    <row r="501" spans="1:8">
      <c r="A501" s="7" t="s">
        <v>524</v>
      </c>
      <c r="B501" s="8">
        <v>45791</v>
      </c>
      <c r="C501" s="7" t="s">
        <v>4</v>
      </c>
      <c r="D501" s="7" t="s">
        <v>27</v>
      </c>
      <c r="E501" s="7">
        <v>8</v>
      </c>
      <c r="F501" s="7">
        <v>73794</v>
      </c>
      <c r="G501" s="7">
        <v>11403</v>
      </c>
      <c r="H501" s="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2B91-4076-7A41-BF90-DF7204245E5F}">
  <dimension ref="A1:N539"/>
  <sheetViews>
    <sheetView zoomScale="94" workbookViewId="0">
      <selection activeCell="L10" sqref="L10"/>
    </sheetView>
  </sheetViews>
  <sheetFormatPr baseColWidth="10" defaultRowHeight="16"/>
  <cols>
    <col min="1" max="1" width="14.6640625" customWidth="1"/>
    <col min="2" max="3" width="23.83203125" style="1" customWidth="1"/>
    <col min="4" max="5" width="12.83203125" customWidth="1"/>
    <col min="6" max="6" width="10.5" customWidth="1"/>
    <col min="7" max="7" width="11.83203125" style="14" customWidth="1"/>
    <col min="8" max="8" width="14.5" style="14" customWidth="1"/>
    <col min="9" max="9" width="18.6640625" customWidth="1"/>
    <col min="10" max="10" width="18.5" customWidth="1"/>
    <col min="11" max="11" width="15.6640625" customWidth="1"/>
    <col min="13" max="13" width="16" bestFit="1" customWidth="1"/>
  </cols>
  <sheetData>
    <row r="1" spans="1:14">
      <c r="A1" s="15" t="s">
        <v>8</v>
      </c>
      <c r="B1" s="9" t="s">
        <v>9</v>
      </c>
      <c r="C1" s="9" t="s">
        <v>525</v>
      </c>
      <c r="D1" s="6" t="s">
        <v>0</v>
      </c>
      <c r="E1" s="6" t="s">
        <v>10</v>
      </c>
      <c r="F1" s="6" t="s">
        <v>5</v>
      </c>
      <c r="G1" s="12" t="s">
        <v>11</v>
      </c>
      <c r="H1" s="12" t="s">
        <v>12</v>
      </c>
      <c r="I1" s="6" t="s">
        <v>13</v>
      </c>
      <c r="J1" s="11" t="s">
        <v>526</v>
      </c>
      <c r="K1" s="11" t="s">
        <v>527</v>
      </c>
    </row>
    <row r="2" spans="1:14">
      <c r="A2" s="16" t="s">
        <v>14</v>
      </c>
      <c r="B2" s="10">
        <v>45293</v>
      </c>
      <c r="C2" s="10" t="str">
        <f>TEXT(Table2[[#This Row],[Date]],"mmm-yyyy")</f>
        <v>Jan-2024</v>
      </c>
      <c r="D2" s="7" t="s">
        <v>15</v>
      </c>
      <c r="E2" s="7" t="s">
        <v>16</v>
      </c>
      <c r="F2" s="7">
        <v>2</v>
      </c>
      <c r="G2" s="13">
        <v>47381</v>
      </c>
      <c r="H2" s="13">
        <v>3023</v>
      </c>
      <c r="I2" s="7" t="s">
        <v>17</v>
      </c>
      <c r="J2" s="14">
        <f t="shared" ref="J2:J65" si="0">G2*F2</f>
        <v>94762</v>
      </c>
      <c r="K2" s="14">
        <f>Table2[[#This Row],[Revenue]]-Table2[[#This Row],[Expense]]</f>
        <v>91739</v>
      </c>
    </row>
    <row r="3" spans="1:14">
      <c r="A3" s="16" t="s">
        <v>18</v>
      </c>
      <c r="B3" s="10">
        <v>45293</v>
      </c>
      <c r="C3" s="10" t="str">
        <f>TEXT(Table2[[#This Row],[Date]],"mmm-yyyy")</f>
        <v>Jan-2024</v>
      </c>
      <c r="D3" s="7" t="s">
        <v>15</v>
      </c>
      <c r="E3" s="7" t="s">
        <v>16</v>
      </c>
      <c r="F3" s="7">
        <v>4</v>
      </c>
      <c r="G3" s="13">
        <v>6401</v>
      </c>
      <c r="H3" s="13">
        <v>8521</v>
      </c>
      <c r="I3" s="7" t="s">
        <v>19</v>
      </c>
      <c r="J3" s="14">
        <f t="shared" si="0"/>
        <v>25604</v>
      </c>
      <c r="K3" s="14">
        <f>Table2[[#This Row],[Revenue]]-Table2[[#This Row],[Expense]]</f>
        <v>17083</v>
      </c>
    </row>
    <row r="4" spans="1:14">
      <c r="A4" s="16" t="s">
        <v>20</v>
      </c>
      <c r="B4" s="10">
        <v>45293</v>
      </c>
      <c r="C4" s="10" t="str">
        <f>TEXT(Table2[[#This Row],[Date]],"mmm-yyyy")</f>
        <v>Jan-2024</v>
      </c>
      <c r="D4" s="7" t="s">
        <v>2</v>
      </c>
      <c r="E4" s="7" t="s">
        <v>16</v>
      </c>
      <c r="F4" s="7">
        <v>7</v>
      </c>
      <c r="G4" s="13">
        <v>6042</v>
      </c>
      <c r="H4" s="13">
        <v>22384</v>
      </c>
      <c r="I4" s="7" t="s">
        <v>19</v>
      </c>
      <c r="J4" s="14">
        <f t="shared" si="0"/>
        <v>42294</v>
      </c>
      <c r="K4" s="14">
        <f>Table2[[#This Row],[Revenue]]-Table2[[#This Row],[Expense]]</f>
        <v>19910</v>
      </c>
    </row>
    <row r="5" spans="1:14">
      <c r="A5" s="16" t="s">
        <v>21</v>
      </c>
      <c r="B5" s="10">
        <v>45295</v>
      </c>
      <c r="C5" s="10" t="str">
        <f>TEXT(Table2[[#This Row],[Date]],"mmm-yyyy")</f>
        <v>Jan-2024</v>
      </c>
      <c r="D5" s="7" t="s">
        <v>2</v>
      </c>
      <c r="E5" s="7" t="s">
        <v>22</v>
      </c>
      <c r="F5" s="7">
        <v>1</v>
      </c>
      <c r="G5" s="13">
        <v>60060</v>
      </c>
      <c r="H5" s="13">
        <v>46096</v>
      </c>
      <c r="I5" s="7" t="s">
        <v>17</v>
      </c>
      <c r="J5" s="14">
        <f t="shared" si="0"/>
        <v>60060</v>
      </c>
      <c r="K5" s="14">
        <f>Table2[[#This Row],[Revenue]]-Table2[[#This Row],[Expense]]</f>
        <v>13964</v>
      </c>
    </row>
    <row r="6" spans="1:14">
      <c r="A6" s="16" t="s">
        <v>23</v>
      </c>
      <c r="B6" s="10">
        <v>45296</v>
      </c>
      <c r="C6" s="10" t="str">
        <f>TEXT(Table2[[#This Row],[Date]],"mmm-yyyy")</f>
        <v>Jan-2024</v>
      </c>
      <c r="D6" s="7" t="s">
        <v>15</v>
      </c>
      <c r="E6" s="7" t="s">
        <v>24</v>
      </c>
      <c r="F6" s="7">
        <v>8</v>
      </c>
      <c r="G6" s="13">
        <v>73879</v>
      </c>
      <c r="H6" s="13">
        <v>8999</v>
      </c>
      <c r="I6" s="7" t="s">
        <v>19</v>
      </c>
      <c r="J6" s="14">
        <f t="shared" si="0"/>
        <v>591032</v>
      </c>
      <c r="K6" s="14">
        <f>Table2[[#This Row],[Revenue]]-Table2[[#This Row],[Expense]]</f>
        <v>582033</v>
      </c>
    </row>
    <row r="7" spans="1:14">
      <c r="A7" s="16" t="s">
        <v>25</v>
      </c>
      <c r="B7" s="10">
        <v>45297</v>
      </c>
      <c r="C7" s="10" t="str">
        <f>TEXT(Table2[[#This Row],[Date]],"mmm-yyyy")</f>
        <v>Jan-2024</v>
      </c>
      <c r="D7" s="7" t="s">
        <v>26</v>
      </c>
      <c r="E7" s="7" t="s">
        <v>27</v>
      </c>
      <c r="F7" s="7">
        <v>1</v>
      </c>
      <c r="G7" s="13">
        <v>39571</v>
      </c>
      <c r="H7" s="13">
        <v>7416</v>
      </c>
      <c r="I7" s="7" t="s">
        <v>17</v>
      </c>
      <c r="J7" s="14">
        <f t="shared" si="0"/>
        <v>39571</v>
      </c>
      <c r="K7" s="14">
        <f>Table2[[#This Row],[Revenue]]-Table2[[#This Row],[Expense]]</f>
        <v>32155</v>
      </c>
    </row>
    <row r="8" spans="1:14">
      <c r="A8" s="16" t="s">
        <v>28</v>
      </c>
      <c r="B8" s="10">
        <v>45300</v>
      </c>
      <c r="C8" s="10" t="str">
        <f>TEXT(Table2[[#This Row],[Date]],"mmm-yyyy")</f>
        <v>Jan-2024</v>
      </c>
      <c r="D8" s="7" t="s">
        <v>15</v>
      </c>
      <c r="E8" s="7" t="s">
        <v>24</v>
      </c>
      <c r="F8" s="7">
        <v>1</v>
      </c>
      <c r="G8" s="13">
        <v>34584</v>
      </c>
      <c r="H8" s="13">
        <v>34937</v>
      </c>
      <c r="I8" s="7" t="s">
        <v>17</v>
      </c>
      <c r="J8" s="14">
        <f t="shared" si="0"/>
        <v>34584</v>
      </c>
      <c r="K8" s="14">
        <f>Table2[[#This Row],[Revenue]]-Table2[[#This Row],[Expense]]</f>
        <v>-353</v>
      </c>
    </row>
    <row r="9" spans="1:14">
      <c r="A9" s="16" t="s">
        <v>29</v>
      </c>
      <c r="B9" s="10">
        <v>45300</v>
      </c>
      <c r="C9" s="10" t="str">
        <f>TEXT(Table2[[#This Row],[Date]],"mmm-yyyy")</f>
        <v>Jan-2024</v>
      </c>
      <c r="D9" s="7" t="s">
        <v>2</v>
      </c>
      <c r="E9" s="7" t="s">
        <v>27</v>
      </c>
      <c r="F9" s="7">
        <v>8</v>
      </c>
      <c r="G9" s="13">
        <v>1171</v>
      </c>
      <c r="H9" s="13">
        <v>7971</v>
      </c>
      <c r="I9" s="7" t="s">
        <v>30</v>
      </c>
      <c r="J9" s="14">
        <f t="shared" si="0"/>
        <v>9368</v>
      </c>
      <c r="K9" s="14">
        <f>Table2[[#This Row],[Revenue]]-Table2[[#This Row],[Expense]]</f>
        <v>1397</v>
      </c>
    </row>
    <row r="10" spans="1:14">
      <c r="A10" s="16" t="s">
        <v>31</v>
      </c>
      <c r="B10" s="10">
        <v>45304</v>
      </c>
      <c r="C10" s="10" t="str">
        <f>TEXT(Table2[[#This Row],[Date]],"mmm-yyyy")</f>
        <v>Jan-2024</v>
      </c>
      <c r="D10" s="7" t="s">
        <v>15</v>
      </c>
      <c r="E10" s="7" t="s">
        <v>32</v>
      </c>
      <c r="F10" s="7">
        <v>2</v>
      </c>
      <c r="G10" s="13">
        <v>49104</v>
      </c>
      <c r="H10" s="13">
        <v>2431</v>
      </c>
      <c r="I10" s="7" t="s">
        <v>17</v>
      </c>
      <c r="J10" s="14">
        <f t="shared" si="0"/>
        <v>98208</v>
      </c>
      <c r="K10" s="14">
        <f>Table2[[#This Row],[Revenue]]-Table2[[#This Row],[Expense]]</f>
        <v>95777</v>
      </c>
    </row>
    <row r="11" spans="1:14">
      <c r="A11" s="16" t="s">
        <v>33</v>
      </c>
      <c r="B11" s="10">
        <v>45305</v>
      </c>
      <c r="C11" s="10" t="str">
        <f>TEXT(Table2[[#This Row],[Date]],"mmm-yyyy")</f>
        <v>Jan-2024</v>
      </c>
      <c r="D11" s="7" t="s">
        <v>3</v>
      </c>
      <c r="E11" s="7" t="s">
        <v>16</v>
      </c>
      <c r="F11" s="7">
        <v>2</v>
      </c>
      <c r="G11" s="13">
        <v>28098</v>
      </c>
      <c r="H11" s="13">
        <v>24928</v>
      </c>
      <c r="I11" s="7" t="s">
        <v>17</v>
      </c>
      <c r="J11" s="14">
        <f t="shared" si="0"/>
        <v>56196</v>
      </c>
      <c r="K11" s="14">
        <f>Table2[[#This Row],[Revenue]]-Table2[[#This Row],[Expense]]</f>
        <v>31268</v>
      </c>
    </row>
    <row r="12" spans="1:14">
      <c r="A12" s="16" t="s">
        <v>34</v>
      </c>
      <c r="B12" s="10">
        <v>45306</v>
      </c>
      <c r="C12" s="10" t="str">
        <f>TEXT(Table2[[#This Row],[Date]],"mmm-yyyy")</f>
        <v>Jan-2024</v>
      </c>
      <c r="D12" s="7" t="s">
        <v>1</v>
      </c>
      <c r="E12" s="7" t="s">
        <v>32</v>
      </c>
      <c r="F12" s="7">
        <v>4</v>
      </c>
      <c r="G12" s="13">
        <v>37884</v>
      </c>
      <c r="H12" s="13">
        <v>30411</v>
      </c>
      <c r="I12" s="7" t="s">
        <v>17</v>
      </c>
      <c r="J12" s="14">
        <f t="shared" si="0"/>
        <v>151536</v>
      </c>
      <c r="K12" s="14">
        <f>Table2[[#This Row],[Revenue]]-Table2[[#This Row],[Expense]]</f>
        <v>121125</v>
      </c>
      <c r="N12" s="1"/>
    </row>
    <row r="13" spans="1:14">
      <c r="A13" s="16" t="s">
        <v>35</v>
      </c>
      <c r="B13" s="10">
        <v>45306</v>
      </c>
      <c r="C13" s="10" t="str">
        <f>TEXT(Table2[[#This Row],[Date]],"mmm-yyyy")</f>
        <v>Jan-2024</v>
      </c>
      <c r="D13" s="7" t="s">
        <v>1</v>
      </c>
      <c r="E13" s="7" t="s">
        <v>22</v>
      </c>
      <c r="F13" s="7">
        <v>5</v>
      </c>
      <c r="G13" s="13">
        <v>64815</v>
      </c>
      <c r="H13" s="13">
        <v>27201</v>
      </c>
      <c r="I13" s="7" t="s">
        <v>36</v>
      </c>
      <c r="J13" s="14">
        <f t="shared" si="0"/>
        <v>324075</v>
      </c>
      <c r="K13" s="14">
        <f>Table2[[#This Row],[Revenue]]-Table2[[#This Row],[Expense]]</f>
        <v>296874</v>
      </c>
    </row>
    <row r="14" spans="1:14">
      <c r="A14" s="16" t="s">
        <v>37</v>
      </c>
      <c r="B14" s="10">
        <v>45308</v>
      </c>
      <c r="C14" s="10" t="str">
        <f>TEXT(Table2[[#This Row],[Date]],"mmm-yyyy")</f>
        <v>Jan-2024</v>
      </c>
      <c r="D14" s="7" t="s">
        <v>15</v>
      </c>
      <c r="E14" s="7" t="s">
        <v>22</v>
      </c>
      <c r="F14" s="7">
        <v>6</v>
      </c>
      <c r="G14" s="13">
        <v>58213</v>
      </c>
      <c r="H14" s="13">
        <v>6433</v>
      </c>
      <c r="I14" s="7" t="s">
        <v>19</v>
      </c>
      <c r="J14" s="14">
        <f t="shared" si="0"/>
        <v>349278</v>
      </c>
      <c r="K14" s="14">
        <f>Table2[[#This Row],[Revenue]]-Table2[[#This Row],[Expense]]</f>
        <v>342845</v>
      </c>
      <c r="M14" s="14"/>
    </row>
    <row r="15" spans="1:14">
      <c r="A15" s="16" t="s">
        <v>38</v>
      </c>
      <c r="B15" s="10">
        <v>45309</v>
      </c>
      <c r="C15" s="10" t="str">
        <f>TEXT(Table2[[#This Row],[Date]],"mmm-yyyy")</f>
        <v>Jan-2024</v>
      </c>
      <c r="D15" s="7" t="s">
        <v>4</v>
      </c>
      <c r="E15" s="7" t="s">
        <v>22</v>
      </c>
      <c r="F15" s="7">
        <v>7</v>
      </c>
      <c r="G15" s="13">
        <v>61832</v>
      </c>
      <c r="H15" s="13">
        <v>10794</v>
      </c>
      <c r="I15" s="7" t="s">
        <v>17</v>
      </c>
      <c r="J15" s="14">
        <f t="shared" si="0"/>
        <v>432824</v>
      </c>
      <c r="K15" s="14">
        <f>Table2[[#This Row],[Revenue]]-Table2[[#This Row],[Expense]]</f>
        <v>422030</v>
      </c>
    </row>
    <row r="16" spans="1:14">
      <c r="A16" s="16" t="s">
        <v>39</v>
      </c>
      <c r="B16" s="10">
        <v>45312</v>
      </c>
      <c r="C16" s="10" t="str">
        <f>TEXT(Table2[[#This Row],[Date]],"mmm-yyyy")</f>
        <v>Jan-2024</v>
      </c>
      <c r="D16" s="7" t="s">
        <v>15</v>
      </c>
      <c r="E16" s="7" t="s">
        <v>27</v>
      </c>
      <c r="F16" s="7">
        <v>5</v>
      </c>
      <c r="G16" s="13">
        <v>50638</v>
      </c>
      <c r="H16" s="13">
        <v>46268</v>
      </c>
      <c r="I16" s="7" t="s">
        <v>30</v>
      </c>
      <c r="J16" s="14">
        <f t="shared" si="0"/>
        <v>253190</v>
      </c>
      <c r="K16" s="14">
        <f>Table2[[#This Row],[Revenue]]-Table2[[#This Row],[Expense]]</f>
        <v>206922</v>
      </c>
    </row>
    <row r="17" spans="1:13">
      <c r="A17" s="16" t="s">
        <v>40</v>
      </c>
      <c r="B17" s="10">
        <v>45312</v>
      </c>
      <c r="C17" s="10" t="str">
        <f>TEXT(Table2[[#This Row],[Date]],"mmm-yyyy")</f>
        <v>Jan-2024</v>
      </c>
      <c r="D17" s="7" t="s">
        <v>3</v>
      </c>
      <c r="E17" s="7" t="s">
        <v>22</v>
      </c>
      <c r="F17" s="7">
        <v>6</v>
      </c>
      <c r="G17" s="13">
        <v>65232</v>
      </c>
      <c r="H17" s="13">
        <v>20033</v>
      </c>
      <c r="I17" s="7" t="s">
        <v>30</v>
      </c>
      <c r="J17" s="14">
        <f t="shared" si="0"/>
        <v>391392</v>
      </c>
      <c r="K17" s="14">
        <f>Table2[[#This Row],[Revenue]]-Table2[[#This Row],[Expense]]</f>
        <v>371359</v>
      </c>
      <c r="M17" s="14"/>
    </row>
    <row r="18" spans="1:13">
      <c r="A18" s="16" t="s">
        <v>41</v>
      </c>
      <c r="B18" s="10">
        <v>45313</v>
      </c>
      <c r="C18" s="10" t="str">
        <f>TEXT(Table2[[#This Row],[Date]],"mmm-yyyy")</f>
        <v>Jan-2024</v>
      </c>
      <c r="D18" s="7" t="s">
        <v>4</v>
      </c>
      <c r="E18" s="7" t="s">
        <v>22</v>
      </c>
      <c r="F18" s="7">
        <v>7</v>
      </c>
      <c r="G18" s="13">
        <v>65465</v>
      </c>
      <c r="H18" s="13">
        <v>37495</v>
      </c>
      <c r="I18" s="7" t="s">
        <v>36</v>
      </c>
      <c r="J18" s="14">
        <f t="shared" si="0"/>
        <v>458255</v>
      </c>
      <c r="K18" s="14">
        <f>Table2[[#This Row],[Revenue]]-Table2[[#This Row],[Expense]]</f>
        <v>420760</v>
      </c>
    </row>
    <row r="19" spans="1:13">
      <c r="A19" s="16" t="s">
        <v>42</v>
      </c>
      <c r="B19" s="10">
        <v>45313</v>
      </c>
      <c r="C19" s="10" t="str">
        <f>TEXT(Table2[[#This Row],[Date]],"mmm-yyyy")</f>
        <v>Jan-2024</v>
      </c>
      <c r="D19" s="7" t="s">
        <v>3</v>
      </c>
      <c r="E19" s="7" t="s">
        <v>22</v>
      </c>
      <c r="F19" s="7">
        <v>3</v>
      </c>
      <c r="G19" s="13">
        <v>10366</v>
      </c>
      <c r="H19" s="13">
        <v>17299</v>
      </c>
      <c r="I19" s="7" t="s">
        <v>36</v>
      </c>
      <c r="J19" s="14">
        <f t="shared" si="0"/>
        <v>31098</v>
      </c>
      <c r="K19" s="14">
        <f>Table2[[#This Row],[Revenue]]-Table2[[#This Row],[Expense]]</f>
        <v>13799</v>
      </c>
    </row>
    <row r="20" spans="1:13">
      <c r="A20" s="16" t="s">
        <v>43</v>
      </c>
      <c r="B20" s="10">
        <v>45318</v>
      </c>
      <c r="C20" s="10" t="str">
        <f>TEXT(Table2[[#This Row],[Date]],"mmm-yyyy")</f>
        <v>Jan-2024</v>
      </c>
      <c r="D20" s="7" t="s">
        <v>1</v>
      </c>
      <c r="E20" s="7" t="s">
        <v>22</v>
      </c>
      <c r="F20" s="7">
        <v>9</v>
      </c>
      <c r="G20" s="13">
        <v>28770</v>
      </c>
      <c r="H20" s="13">
        <v>10346</v>
      </c>
      <c r="I20" s="7" t="s">
        <v>17</v>
      </c>
      <c r="J20" s="14">
        <f t="shared" si="0"/>
        <v>258930</v>
      </c>
      <c r="K20" s="14">
        <f>Table2[[#This Row],[Revenue]]-Table2[[#This Row],[Expense]]</f>
        <v>248584</v>
      </c>
    </row>
    <row r="21" spans="1:13">
      <c r="A21" s="16" t="s">
        <v>44</v>
      </c>
      <c r="B21" s="10">
        <v>45319</v>
      </c>
      <c r="C21" s="10" t="str">
        <f>TEXT(Table2[[#This Row],[Date]],"mmm-yyyy")</f>
        <v>Jan-2024</v>
      </c>
      <c r="D21" s="7" t="s">
        <v>1</v>
      </c>
      <c r="E21" s="7" t="s">
        <v>16</v>
      </c>
      <c r="F21" s="7">
        <v>8</v>
      </c>
      <c r="G21" s="13">
        <v>40890</v>
      </c>
      <c r="H21" s="13">
        <v>19509</v>
      </c>
      <c r="I21" s="7" t="s">
        <v>17</v>
      </c>
      <c r="J21" s="14">
        <f t="shared" si="0"/>
        <v>327120</v>
      </c>
      <c r="K21" s="14">
        <f>Table2[[#This Row],[Revenue]]-Table2[[#This Row],[Expense]]</f>
        <v>307611</v>
      </c>
    </row>
    <row r="22" spans="1:13">
      <c r="A22" s="16" t="s">
        <v>45</v>
      </c>
      <c r="B22" s="10">
        <v>45319</v>
      </c>
      <c r="C22" s="10" t="str">
        <f>TEXT(Table2[[#This Row],[Date]],"mmm-yyyy")</f>
        <v>Jan-2024</v>
      </c>
      <c r="D22" s="7" t="s">
        <v>2</v>
      </c>
      <c r="E22" s="7" t="s">
        <v>16</v>
      </c>
      <c r="F22" s="7">
        <v>8</v>
      </c>
      <c r="G22" s="13">
        <v>48731</v>
      </c>
      <c r="H22" s="13">
        <v>35782</v>
      </c>
      <c r="I22" s="7" t="s">
        <v>19</v>
      </c>
      <c r="J22" s="14">
        <f t="shared" si="0"/>
        <v>389848</v>
      </c>
      <c r="K22" s="14">
        <f>Table2[[#This Row],[Revenue]]-Table2[[#This Row],[Expense]]</f>
        <v>354066</v>
      </c>
    </row>
    <row r="23" spans="1:13">
      <c r="A23" s="16" t="s">
        <v>46</v>
      </c>
      <c r="B23" s="10">
        <v>45320</v>
      </c>
      <c r="C23" s="10" t="str">
        <f>TEXT(Table2[[#This Row],[Date]],"mmm-yyyy")</f>
        <v>Jan-2024</v>
      </c>
      <c r="D23" s="7" t="s">
        <v>15</v>
      </c>
      <c r="E23" s="7" t="s">
        <v>32</v>
      </c>
      <c r="F23" s="7">
        <v>7</v>
      </c>
      <c r="G23" s="13">
        <v>61463</v>
      </c>
      <c r="H23" s="13">
        <v>24252</v>
      </c>
      <c r="I23" s="7" t="s">
        <v>17</v>
      </c>
      <c r="J23" s="14">
        <f t="shared" si="0"/>
        <v>430241</v>
      </c>
      <c r="K23" s="14">
        <f>Table2[[#This Row],[Revenue]]-Table2[[#This Row],[Expense]]</f>
        <v>405989</v>
      </c>
      <c r="M23" s="14"/>
    </row>
    <row r="24" spans="1:13">
      <c r="A24" s="16" t="s">
        <v>47</v>
      </c>
      <c r="B24" s="10">
        <v>45324</v>
      </c>
      <c r="C24" s="10" t="str">
        <f>TEXT(Table2[[#This Row],[Date]],"mmm-yyyy")</f>
        <v>Feb-2024</v>
      </c>
      <c r="D24" s="7" t="s">
        <v>1</v>
      </c>
      <c r="E24" s="7" t="s">
        <v>32</v>
      </c>
      <c r="F24" s="7">
        <v>8</v>
      </c>
      <c r="G24" s="13">
        <v>7921</v>
      </c>
      <c r="H24" s="13">
        <v>31268</v>
      </c>
      <c r="I24" s="7" t="s">
        <v>19</v>
      </c>
      <c r="J24" s="14">
        <f t="shared" si="0"/>
        <v>63368</v>
      </c>
      <c r="K24" s="14">
        <f>Table2[[#This Row],[Revenue]]-Table2[[#This Row],[Expense]]</f>
        <v>32100</v>
      </c>
    </row>
    <row r="25" spans="1:13">
      <c r="A25" s="16" t="s">
        <v>48</v>
      </c>
      <c r="B25" s="10">
        <v>45324</v>
      </c>
      <c r="C25" s="10" t="str">
        <f>TEXT(Table2[[#This Row],[Date]],"mmm-yyyy")</f>
        <v>Feb-2024</v>
      </c>
      <c r="D25" s="7" t="s">
        <v>4</v>
      </c>
      <c r="E25" s="7" t="s">
        <v>24</v>
      </c>
      <c r="F25" s="7">
        <v>2</v>
      </c>
      <c r="G25" s="13">
        <v>8288</v>
      </c>
      <c r="H25" s="13">
        <v>12739</v>
      </c>
      <c r="I25" s="7" t="s">
        <v>36</v>
      </c>
      <c r="J25" s="14">
        <f t="shared" si="0"/>
        <v>16576</v>
      </c>
      <c r="K25" s="14">
        <f>Table2[[#This Row],[Revenue]]-Table2[[#This Row],[Expense]]</f>
        <v>3837</v>
      </c>
    </row>
    <row r="26" spans="1:13">
      <c r="A26" s="16" t="s">
        <v>49</v>
      </c>
      <c r="B26" s="10">
        <v>45326</v>
      </c>
      <c r="C26" s="10" t="str">
        <f>TEXT(Table2[[#This Row],[Date]],"mmm-yyyy")</f>
        <v>Feb-2024</v>
      </c>
      <c r="D26" s="7" t="s">
        <v>15</v>
      </c>
      <c r="E26" s="7" t="s">
        <v>22</v>
      </c>
      <c r="F26" s="7">
        <v>5</v>
      </c>
      <c r="G26" s="13">
        <v>39810</v>
      </c>
      <c r="H26" s="13">
        <v>48639</v>
      </c>
      <c r="I26" s="7" t="s">
        <v>19</v>
      </c>
      <c r="J26" s="14">
        <f t="shared" si="0"/>
        <v>199050</v>
      </c>
      <c r="K26" s="14">
        <f>Table2[[#This Row],[Revenue]]-Table2[[#This Row],[Expense]]</f>
        <v>150411</v>
      </c>
    </row>
    <row r="27" spans="1:13">
      <c r="A27" s="16" t="s">
        <v>50</v>
      </c>
      <c r="B27" s="10">
        <v>45326</v>
      </c>
      <c r="C27" s="10" t="str">
        <f>TEXT(Table2[[#This Row],[Date]],"mmm-yyyy")</f>
        <v>Feb-2024</v>
      </c>
      <c r="D27" s="7" t="s">
        <v>4</v>
      </c>
      <c r="E27" s="7" t="s">
        <v>32</v>
      </c>
      <c r="F27" s="7">
        <v>8</v>
      </c>
      <c r="G27" s="13">
        <v>38967</v>
      </c>
      <c r="H27" s="13">
        <v>19284</v>
      </c>
      <c r="I27" s="7" t="s">
        <v>30</v>
      </c>
      <c r="J27" s="14">
        <f t="shared" si="0"/>
        <v>311736</v>
      </c>
      <c r="K27" s="14">
        <f>Table2[[#This Row],[Revenue]]-Table2[[#This Row],[Expense]]</f>
        <v>292452</v>
      </c>
    </row>
    <row r="28" spans="1:13">
      <c r="A28" s="16" t="s">
        <v>51</v>
      </c>
      <c r="B28" s="10">
        <v>45326</v>
      </c>
      <c r="C28" s="10" t="str">
        <f>TEXT(Table2[[#This Row],[Date]],"mmm-yyyy")</f>
        <v>Feb-2024</v>
      </c>
      <c r="D28" s="7" t="s">
        <v>3</v>
      </c>
      <c r="E28" s="7" t="s">
        <v>24</v>
      </c>
      <c r="F28" s="7">
        <v>1</v>
      </c>
      <c r="G28" s="13">
        <v>78540</v>
      </c>
      <c r="H28" s="13">
        <v>7450</v>
      </c>
      <c r="I28" s="7" t="s">
        <v>30</v>
      </c>
      <c r="J28" s="14">
        <f t="shared" si="0"/>
        <v>78540</v>
      </c>
      <c r="K28" s="14">
        <f>Table2[[#This Row],[Revenue]]-Table2[[#This Row],[Expense]]</f>
        <v>71090</v>
      </c>
    </row>
    <row r="29" spans="1:13">
      <c r="A29" s="16" t="s">
        <v>52</v>
      </c>
      <c r="B29" s="10">
        <v>45327</v>
      </c>
      <c r="C29" s="10" t="str">
        <f>TEXT(Table2[[#This Row],[Date]],"mmm-yyyy")</f>
        <v>Feb-2024</v>
      </c>
      <c r="D29" s="7" t="s">
        <v>26</v>
      </c>
      <c r="E29" s="7" t="s">
        <v>27</v>
      </c>
      <c r="F29" s="7">
        <v>9</v>
      </c>
      <c r="G29" s="13">
        <v>43328</v>
      </c>
      <c r="H29" s="13">
        <v>16261</v>
      </c>
      <c r="I29" s="7" t="s">
        <v>19</v>
      </c>
      <c r="J29" s="14">
        <f t="shared" si="0"/>
        <v>389952</v>
      </c>
      <c r="K29" s="14">
        <f>Table2[[#This Row],[Revenue]]-Table2[[#This Row],[Expense]]</f>
        <v>373691</v>
      </c>
    </row>
    <row r="30" spans="1:13">
      <c r="A30" s="16" t="s">
        <v>53</v>
      </c>
      <c r="B30" s="10">
        <v>45328</v>
      </c>
      <c r="C30" s="10" t="str">
        <f>TEXT(Table2[[#This Row],[Date]],"mmm-yyyy")</f>
        <v>Feb-2024</v>
      </c>
      <c r="D30" s="7" t="s">
        <v>15</v>
      </c>
      <c r="E30" s="7" t="s">
        <v>22</v>
      </c>
      <c r="F30" s="7">
        <v>6</v>
      </c>
      <c r="G30" s="13">
        <v>47576</v>
      </c>
      <c r="H30" s="13">
        <v>14521</v>
      </c>
      <c r="I30" s="7" t="s">
        <v>19</v>
      </c>
      <c r="J30" s="14">
        <f t="shared" si="0"/>
        <v>285456</v>
      </c>
      <c r="K30" s="14">
        <f>Table2[[#This Row],[Revenue]]-Table2[[#This Row],[Expense]]</f>
        <v>270935</v>
      </c>
    </row>
    <row r="31" spans="1:13">
      <c r="A31" s="16" t="s">
        <v>54</v>
      </c>
      <c r="B31" s="10">
        <v>45328</v>
      </c>
      <c r="C31" s="10" t="str">
        <f>TEXT(Table2[[#This Row],[Date]],"mmm-yyyy")</f>
        <v>Feb-2024</v>
      </c>
      <c r="D31" s="7" t="s">
        <v>3</v>
      </c>
      <c r="E31" s="7" t="s">
        <v>27</v>
      </c>
      <c r="F31" s="7">
        <v>5</v>
      </c>
      <c r="G31" s="13">
        <v>64879</v>
      </c>
      <c r="H31" s="13">
        <v>41718</v>
      </c>
      <c r="I31" s="7" t="s">
        <v>36</v>
      </c>
      <c r="J31" s="14">
        <f t="shared" si="0"/>
        <v>324395</v>
      </c>
      <c r="K31" s="14">
        <f>Table2[[#This Row],[Revenue]]-Table2[[#This Row],[Expense]]</f>
        <v>282677</v>
      </c>
    </row>
    <row r="32" spans="1:13">
      <c r="A32" s="16" t="s">
        <v>55</v>
      </c>
      <c r="B32" s="10">
        <v>45329</v>
      </c>
      <c r="C32" s="10" t="str">
        <f>TEXT(Table2[[#This Row],[Date]],"mmm-yyyy")</f>
        <v>Feb-2024</v>
      </c>
      <c r="D32" s="7" t="s">
        <v>2</v>
      </c>
      <c r="E32" s="7" t="s">
        <v>22</v>
      </c>
      <c r="F32" s="7">
        <v>1</v>
      </c>
      <c r="G32" s="13">
        <v>58406</v>
      </c>
      <c r="H32" s="13">
        <v>47443</v>
      </c>
      <c r="I32" s="7" t="s">
        <v>19</v>
      </c>
      <c r="J32" s="14">
        <f t="shared" si="0"/>
        <v>58406</v>
      </c>
      <c r="K32" s="14">
        <f>Table2[[#This Row],[Revenue]]-Table2[[#This Row],[Expense]]</f>
        <v>10963</v>
      </c>
    </row>
    <row r="33" spans="1:11">
      <c r="A33" s="16" t="s">
        <v>56</v>
      </c>
      <c r="B33" s="10">
        <v>45330</v>
      </c>
      <c r="C33" s="10" t="str">
        <f>TEXT(Table2[[#This Row],[Date]],"mmm-yyyy")</f>
        <v>Feb-2024</v>
      </c>
      <c r="D33" s="7" t="s">
        <v>15</v>
      </c>
      <c r="E33" s="7" t="s">
        <v>32</v>
      </c>
      <c r="F33" s="7">
        <v>8</v>
      </c>
      <c r="G33" s="13">
        <v>12911</v>
      </c>
      <c r="H33" s="13">
        <v>21354</v>
      </c>
      <c r="I33" s="7" t="s">
        <v>30</v>
      </c>
      <c r="J33" s="14">
        <f t="shared" si="0"/>
        <v>103288</v>
      </c>
      <c r="K33" s="14">
        <f>Table2[[#This Row],[Revenue]]-Table2[[#This Row],[Expense]]</f>
        <v>81934</v>
      </c>
    </row>
    <row r="34" spans="1:11">
      <c r="A34" s="16" t="s">
        <v>57</v>
      </c>
      <c r="B34" s="10">
        <v>45332</v>
      </c>
      <c r="C34" s="10" t="str">
        <f>TEXT(Table2[[#This Row],[Date]],"mmm-yyyy")</f>
        <v>Feb-2024</v>
      </c>
      <c r="D34" s="7" t="s">
        <v>1</v>
      </c>
      <c r="E34" s="7" t="s">
        <v>32</v>
      </c>
      <c r="F34" s="7">
        <v>9</v>
      </c>
      <c r="G34" s="13">
        <v>9935</v>
      </c>
      <c r="H34" s="13">
        <v>11258</v>
      </c>
      <c r="I34" s="7" t="s">
        <v>19</v>
      </c>
      <c r="J34" s="14">
        <f t="shared" si="0"/>
        <v>89415</v>
      </c>
      <c r="K34" s="14">
        <f>Table2[[#This Row],[Revenue]]-Table2[[#This Row],[Expense]]</f>
        <v>78157</v>
      </c>
    </row>
    <row r="35" spans="1:11">
      <c r="A35" s="16" t="s">
        <v>58</v>
      </c>
      <c r="B35" s="10">
        <v>45332</v>
      </c>
      <c r="C35" s="10" t="str">
        <f>TEXT(Table2[[#This Row],[Date]],"mmm-yyyy")</f>
        <v>Feb-2024</v>
      </c>
      <c r="D35" s="7" t="s">
        <v>2</v>
      </c>
      <c r="E35" s="7" t="s">
        <v>16</v>
      </c>
      <c r="F35" s="7">
        <v>9</v>
      </c>
      <c r="G35" s="13">
        <v>34255</v>
      </c>
      <c r="H35" s="13">
        <v>31254</v>
      </c>
      <c r="I35" s="7" t="s">
        <v>36</v>
      </c>
      <c r="J35" s="14">
        <f t="shared" si="0"/>
        <v>308295</v>
      </c>
      <c r="K35" s="14">
        <f>Table2[[#This Row],[Revenue]]-Table2[[#This Row],[Expense]]</f>
        <v>277041</v>
      </c>
    </row>
    <row r="36" spans="1:11">
      <c r="A36" s="16" t="s">
        <v>59</v>
      </c>
      <c r="B36" s="10">
        <v>45333</v>
      </c>
      <c r="C36" s="10" t="str">
        <f>TEXT(Table2[[#This Row],[Date]],"mmm-yyyy")</f>
        <v>Feb-2024</v>
      </c>
      <c r="D36" s="7" t="s">
        <v>2</v>
      </c>
      <c r="E36" s="7" t="s">
        <v>22</v>
      </c>
      <c r="F36" s="7">
        <v>3</v>
      </c>
      <c r="G36" s="13">
        <v>71087</v>
      </c>
      <c r="H36" s="13">
        <v>30309</v>
      </c>
      <c r="I36" s="7" t="s">
        <v>19</v>
      </c>
      <c r="J36" s="14">
        <f t="shared" si="0"/>
        <v>213261</v>
      </c>
      <c r="K36" s="14">
        <f>Table2[[#This Row],[Revenue]]-Table2[[#This Row],[Expense]]</f>
        <v>182952</v>
      </c>
    </row>
    <row r="37" spans="1:11">
      <c r="A37" s="16" t="s">
        <v>60</v>
      </c>
      <c r="B37" s="10">
        <v>45335</v>
      </c>
      <c r="C37" s="10" t="str">
        <f>TEXT(Table2[[#This Row],[Date]],"mmm-yyyy")</f>
        <v>Feb-2024</v>
      </c>
      <c r="D37" s="7" t="s">
        <v>4</v>
      </c>
      <c r="E37" s="7" t="s">
        <v>16</v>
      </c>
      <c r="F37" s="7">
        <v>5</v>
      </c>
      <c r="G37" s="13">
        <v>31510</v>
      </c>
      <c r="H37" s="13">
        <v>37060</v>
      </c>
      <c r="I37" s="7" t="s">
        <v>30</v>
      </c>
      <c r="J37" s="14">
        <f t="shared" si="0"/>
        <v>157550</v>
      </c>
      <c r="K37" s="14">
        <f>Table2[[#This Row],[Revenue]]-Table2[[#This Row],[Expense]]</f>
        <v>120490</v>
      </c>
    </row>
    <row r="38" spans="1:11">
      <c r="A38" s="16" t="s">
        <v>61</v>
      </c>
      <c r="B38" s="10">
        <v>45335</v>
      </c>
      <c r="C38" s="10" t="str">
        <f>TEXT(Table2[[#This Row],[Date]],"mmm-yyyy")</f>
        <v>Feb-2024</v>
      </c>
      <c r="D38" s="7" t="s">
        <v>26</v>
      </c>
      <c r="E38" s="7" t="s">
        <v>32</v>
      </c>
      <c r="F38" s="7">
        <v>2</v>
      </c>
      <c r="G38" s="13">
        <v>63211</v>
      </c>
      <c r="H38" s="13">
        <v>8896</v>
      </c>
      <c r="I38" s="7" t="s">
        <v>30</v>
      </c>
      <c r="J38" s="14">
        <f t="shared" si="0"/>
        <v>126422</v>
      </c>
      <c r="K38" s="14">
        <f>Table2[[#This Row],[Revenue]]-Table2[[#This Row],[Expense]]</f>
        <v>117526</v>
      </c>
    </row>
    <row r="39" spans="1:11">
      <c r="A39" s="16" t="s">
        <v>62</v>
      </c>
      <c r="B39" s="10">
        <v>45336</v>
      </c>
      <c r="C39" s="10" t="str">
        <f>TEXT(Table2[[#This Row],[Date]],"mmm-yyyy")</f>
        <v>Feb-2024</v>
      </c>
      <c r="D39" s="7" t="s">
        <v>26</v>
      </c>
      <c r="E39" s="7" t="s">
        <v>22</v>
      </c>
      <c r="F39" s="7">
        <v>6</v>
      </c>
      <c r="G39" s="13">
        <v>20603</v>
      </c>
      <c r="H39" s="13">
        <v>20675</v>
      </c>
      <c r="I39" s="7" t="s">
        <v>36</v>
      </c>
      <c r="J39" s="14">
        <f t="shared" si="0"/>
        <v>123618</v>
      </c>
      <c r="K39" s="14">
        <f>Table2[[#This Row],[Revenue]]-Table2[[#This Row],[Expense]]</f>
        <v>102943</v>
      </c>
    </row>
    <row r="40" spans="1:11">
      <c r="A40" s="16" t="s">
        <v>63</v>
      </c>
      <c r="B40" s="10">
        <v>45337</v>
      </c>
      <c r="C40" s="10" t="str">
        <f>TEXT(Table2[[#This Row],[Date]],"mmm-yyyy")</f>
        <v>Feb-2024</v>
      </c>
      <c r="D40" s="7" t="s">
        <v>4</v>
      </c>
      <c r="E40" s="7" t="s">
        <v>24</v>
      </c>
      <c r="F40" s="7">
        <v>5</v>
      </c>
      <c r="G40" s="13">
        <v>17653</v>
      </c>
      <c r="H40" s="13">
        <v>42855</v>
      </c>
      <c r="I40" s="7" t="s">
        <v>36</v>
      </c>
      <c r="J40" s="14">
        <f t="shared" si="0"/>
        <v>88265</v>
      </c>
      <c r="K40" s="14">
        <f>Table2[[#This Row],[Revenue]]-Table2[[#This Row],[Expense]]</f>
        <v>45410</v>
      </c>
    </row>
    <row r="41" spans="1:11">
      <c r="A41" s="16" t="s">
        <v>64</v>
      </c>
      <c r="B41" s="10">
        <v>45339</v>
      </c>
      <c r="C41" s="10" t="str">
        <f>TEXT(Table2[[#This Row],[Date]],"mmm-yyyy")</f>
        <v>Feb-2024</v>
      </c>
      <c r="D41" s="7" t="s">
        <v>2</v>
      </c>
      <c r="E41" s="7" t="s">
        <v>32</v>
      </c>
      <c r="F41" s="7">
        <v>5</v>
      </c>
      <c r="G41" s="13">
        <v>18227</v>
      </c>
      <c r="H41" s="13">
        <v>9329</v>
      </c>
      <c r="I41" s="7" t="s">
        <v>30</v>
      </c>
      <c r="J41" s="14">
        <f t="shared" si="0"/>
        <v>91135</v>
      </c>
      <c r="K41" s="14">
        <f>Table2[[#This Row],[Revenue]]-Table2[[#This Row],[Expense]]</f>
        <v>81806</v>
      </c>
    </row>
    <row r="42" spans="1:11">
      <c r="A42" s="16" t="s">
        <v>65</v>
      </c>
      <c r="B42" s="10">
        <v>45340</v>
      </c>
      <c r="C42" s="10" t="str">
        <f>TEXT(Table2[[#This Row],[Date]],"mmm-yyyy")</f>
        <v>Feb-2024</v>
      </c>
      <c r="D42" s="7" t="s">
        <v>4</v>
      </c>
      <c r="E42" s="7" t="s">
        <v>24</v>
      </c>
      <c r="F42" s="7">
        <v>2</v>
      </c>
      <c r="G42" s="13">
        <v>18272</v>
      </c>
      <c r="H42" s="13">
        <v>39787</v>
      </c>
      <c r="I42" s="7" t="s">
        <v>19</v>
      </c>
      <c r="J42" s="14">
        <f t="shared" si="0"/>
        <v>36544</v>
      </c>
      <c r="K42" s="14">
        <f>Table2[[#This Row],[Revenue]]-Table2[[#This Row],[Expense]]</f>
        <v>-3243</v>
      </c>
    </row>
    <row r="43" spans="1:11">
      <c r="A43" s="16" t="s">
        <v>66</v>
      </c>
      <c r="B43" s="10">
        <v>45340</v>
      </c>
      <c r="C43" s="10" t="str">
        <f>TEXT(Table2[[#This Row],[Date]],"mmm-yyyy")</f>
        <v>Feb-2024</v>
      </c>
      <c r="D43" s="7" t="s">
        <v>26</v>
      </c>
      <c r="E43" s="7" t="s">
        <v>22</v>
      </c>
      <c r="F43" s="7">
        <v>8</v>
      </c>
      <c r="G43" s="13">
        <v>7410</v>
      </c>
      <c r="H43" s="13">
        <v>30009</v>
      </c>
      <c r="I43" s="7" t="s">
        <v>30</v>
      </c>
      <c r="J43" s="14">
        <f t="shared" si="0"/>
        <v>59280</v>
      </c>
      <c r="K43" s="14">
        <f>Table2[[#This Row],[Revenue]]-Table2[[#This Row],[Expense]]</f>
        <v>29271</v>
      </c>
    </row>
    <row r="44" spans="1:11">
      <c r="A44" s="16" t="s">
        <v>67</v>
      </c>
      <c r="B44" s="10">
        <v>45341</v>
      </c>
      <c r="C44" s="10" t="str">
        <f>TEXT(Table2[[#This Row],[Date]],"mmm-yyyy")</f>
        <v>Feb-2024</v>
      </c>
      <c r="D44" s="7" t="s">
        <v>4</v>
      </c>
      <c r="E44" s="7" t="s">
        <v>32</v>
      </c>
      <c r="F44" s="7">
        <v>8</v>
      </c>
      <c r="G44" s="13">
        <v>45879</v>
      </c>
      <c r="H44" s="13">
        <v>8909</v>
      </c>
      <c r="I44" s="7" t="s">
        <v>19</v>
      </c>
      <c r="J44" s="14">
        <f t="shared" si="0"/>
        <v>367032</v>
      </c>
      <c r="K44" s="14">
        <f>Table2[[#This Row],[Revenue]]-Table2[[#This Row],[Expense]]</f>
        <v>358123</v>
      </c>
    </row>
    <row r="45" spans="1:11">
      <c r="A45" s="16" t="s">
        <v>68</v>
      </c>
      <c r="B45" s="10">
        <v>45342</v>
      </c>
      <c r="C45" s="10" t="str">
        <f>TEXT(Table2[[#This Row],[Date]],"mmm-yyyy")</f>
        <v>Feb-2024</v>
      </c>
      <c r="D45" s="7" t="s">
        <v>2</v>
      </c>
      <c r="E45" s="7" t="s">
        <v>24</v>
      </c>
      <c r="F45" s="7">
        <v>3</v>
      </c>
      <c r="G45" s="13">
        <v>63949</v>
      </c>
      <c r="H45" s="13">
        <v>15042</v>
      </c>
      <c r="I45" s="7" t="s">
        <v>36</v>
      </c>
      <c r="J45" s="14">
        <f t="shared" si="0"/>
        <v>191847</v>
      </c>
      <c r="K45" s="14">
        <f>Table2[[#This Row],[Revenue]]-Table2[[#This Row],[Expense]]</f>
        <v>176805</v>
      </c>
    </row>
    <row r="46" spans="1:11">
      <c r="A46" s="16" t="s">
        <v>69</v>
      </c>
      <c r="B46" s="10">
        <v>45342</v>
      </c>
      <c r="C46" s="10" t="str">
        <f>TEXT(Table2[[#This Row],[Date]],"mmm-yyyy")</f>
        <v>Feb-2024</v>
      </c>
      <c r="D46" s="7" t="s">
        <v>3</v>
      </c>
      <c r="E46" s="7" t="s">
        <v>16</v>
      </c>
      <c r="F46" s="7">
        <v>4</v>
      </c>
      <c r="G46" s="13">
        <v>76795</v>
      </c>
      <c r="H46" s="13">
        <v>44732</v>
      </c>
      <c r="I46" s="7" t="s">
        <v>19</v>
      </c>
      <c r="J46" s="14">
        <f t="shared" si="0"/>
        <v>307180</v>
      </c>
      <c r="K46" s="14">
        <f>Table2[[#This Row],[Revenue]]-Table2[[#This Row],[Expense]]</f>
        <v>262448</v>
      </c>
    </row>
    <row r="47" spans="1:11">
      <c r="A47" s="16" t="s">
        <v>70</v>
      </c>
      <c r="B47" s="10">
        <v>45343</v>
      </c>
      <c r="C47" s="10" t="str">
        <f>TEXT(Table2[[#This Row],[Date]],"mmm-yyyy")</f>
        <v>Feb-2024</v>
      </c>
      <c r="D47" s="7" t="s">
        <v>15</v>
      </c>
      <c r="E47" s="7" t="s">
        <v>22</v>
      </c>
      <c r="F47" s="7">
        <v>2</v>
      </c>
      <c r="G47" s="13">
        <v>74294</v>
      </c>
      <c r="H47" s="13">
        <v>14493</v>
      </c>
      <c r="I47" s="7" t="s">
        <v>36</v>
      </c>
      <c r="J47" s="14">
        <f t="shared" si="0"/>
        <v>148588</v>
      </c>
      <c r="K47" s="14">
        <f>Table2[[#This Row],[Revenue]]-Table2[[#This Row],[Expense]]</f>
        <v>134095</v>
      </c>
    </row>
    <row r="48" spans="1:11">
      <c r="A48" s="16" t="s">
        <v>71</v>
      </c>
      <c r="B48" s="10">
        <v>45343</v>
      </c>
      <c r="C48" s="10" t="str">
        <f>TEXT(Table2[[#This Row],[Date]],"mmm-yyyy")</f>
        <v>Feb-2024</v>
      </c>
      <c r="D48" s="7" t="s">
        <v>26</v>
      </c>
      <c r="E48" s="7" t="s">
        <v>24</v>
      </c>
      <c r="F48" s="7">
        <v>8</v>
      </c>
      <c r="G48" s="13">
        <v>56654</v>
      </c>
      <c r="H48" s="13">
        <v>8345</v>
      </c>
      <c r="I48" s="7" t="s">
        <v>19</v>
      </c>
      <c r="J48" s="14">
        <f t="shared" si="0"/>
        <v>453232</v>
      </c>
      <c r="K48" s="14">
        <f>Table2[[#This Row],[Revenue]]-Table2[[#This Row],[Expense]]</f>
        <v>444887</v>
      </c>
    </row>
    <row r="49" spans="1:11">
      <c r="A49" s="16" t="s">
        <v>72</v>
      </c>
      <c r="B49" s="10">
        <v>45344</v>
      </c>
      <c r="C49" s="10" t="str">
        <f>TEXT(Table2[[#This Row],[Date]],"mmm-yyyy")</f>
        <v>Feb-2024</v>
      </c>
      <c r="D49" s="7" t="s">
        <v>1</v>
      </c>
      <c r="E49" s="7" t="s">
        <v>16</v>
      </c>
      <c r="F49" s="7">
        <v>7</v>
      </c>
      <c r="G49" s="13">
        <v>27466</v>
      </c>
      <c r="H49" s="13">
        <v>25286</v>
      </c>
      <c r="I49" s="7" t="s">
        <v>19</v>
      </c>
      <c r="J49" s="14">
        <f t="shared" si="0"/>
        <v>192262</v>
      </c>
      <c r="K49" s="14">
        <f>Table2[[#This Row],[Revenue]]-Table2[[#This Row],[Expense]]</f>
        <v>166976</v>
      </c>
    </row>
    <row r="50" spans="1:11">
      <c r="A50" s="16" t="s">
        <v>73</v>
      </c>
      <c r="B50" s="10">
        <v>45344</v>
      </c>
      <c r="C50" s="10" t="str">
        <f>TEXT(Table2[[#This Row],[Date]],"mmm-yyyy")</f>
        <v>Feb-2024</v>
      </c>
      <c r="D50" s="7" t="s">
        <v>15</v>
      </c>
      <c r="E50" s="7" t="s">
        <v>22</v>
      </c>
      <c r="F50" s="7">
        <v>3</v>
      </c>
      <c r="G50" s="13">
        <v>22175</v>
      </c>
      <c r="H50" s="13">
        <v>13693</v>
      </c>
      <c r="I50" s="7" t="s">
        <v>17</v>
      </c>
      <c r="J50" s="14">
        <f t="shared" si="0"/>
        <v>66525</v>
      </c>
      <c r="K50" s="14">
        <f>Table2[[#This Row],[Revenue]]-Table2[[#This Row],[Expense]]</f>
        <v>52832</v>
      </c>
    </row>
    <row r="51" spans="1:11">
      <c r="A51" s="16" t="s">
        <v>74</v>
      </c>
      <c r="B51" s="10">
        <v>45344</v>
      </c>
      <c r="C51" s="10" t="str">
        <f>TEXT(Table2[[#This Row],[Date]],"mmm-yyyy")</f>
        <v>Feb-2024</v>
      </c>
      <c r="D51" s="7" t="s">
        <v>4</v>
      </c>
      <c r="E51" s="7" t="s">
        <v>22</v>
      </c>
      <c r="F51" s="7">
        <v>1</v>
      </c>
      <c r="G51" s="13">
        <v>48744</v>
      </c>
      <c r="H51" s="13">
        <v>48945</v>
      </c>
      <c r="I51" s="7" t="s">
        <v>36</v>
      </c>
      <c r="J51" s="14">
        <f t="shared" si="0"/>
        <v>48744</v>
      </c>
      <c r="K51" s="14">
        <f>Table2[[#This Row],[Revenue]]-Table2[[#This Row],[Expense]]</f>
        <v>-201</v>
      </c>
    </row>
    <row r="52" spans="1:11">
      <c r="A52" s="16" t="s">
        <v>75</v>
      </c>
      <c r="B52" s="10">
        <v>45345</v>
      </c>
      <c r="C52" s="10" t="str">
        <f>TEXT(Table2[[#This Row],[Date]],"mmm-yyyy")</f>
        <v>Feb-2024</v>
      </c>
      <c r="D52" s="7" t="s">
        <v>2</v>
      </c>
      <c r="E52" s="7" t="s">
        <v>32</v>
      </c>
      <c r="F52" s="7">
        <v>9</v>
      </c>
      <c r="G52" s="13">
        <v>6512</v>
      </c>
      <c r="H52" s="13">
        <v>27661</v>
      </c>
      <c r="I52" s="7" t="s">
        <v>17</v>
      </c>
      <c r="J52" s="14">
        <f t="shared" si="0"/>
        <v>58608</v>
      </c>
      <c r="K52" s="14">
        <f>Table2[[#This Row],[Revenue]]-Table2[[#This Row],[Expense]]</f>
        <v>30947</v>
      </c>
    </row>
    <row r="53" spans="1:11">
      <c r="A53" s="16" t="s">
        <v>76</v>
      </c>
      <c r="B53" s="10">
        <v>45345</v>
      </c>
      <c r="C53" s="10" t="str">
        <f>TEXT(Table2[[#This Row],[Date]],"mmm-yyyy")</f>
        <v>Feb-2024</v>
      </c>
      <c r="D53" s="7" t="s">
        <v>1</v>
      </c>
      <c r="E53" s="7" t="s">
        <v>22</v>
      </c>
      <c r="F53" s="7">
        <v>6</v>
      </c>
      <c r="G53" s="13">
        <v>38185</v>
      </c>
      <c r="H53" s="13">
        <v>19474</v>
      </c>
      <c r="I53" s="7" t="s">
        <v>30</v>
      </c>
      <c r="J53" s="14">
        <f t="shared" si="0"/>
        <v>229110</v>
      </c>
      <c r="K53" s="14">
        <f>Table2[[#This Row],[Revenue]]-Table2[[#This Row],[Expense]]</f>
        <v>209636</v>
      </c>
    </row>
    <row r="54" spans="1:11">
      <c r="A54" s="16" t="s">
        <v>77</v>
      </c>
      <c r="B54" s="10">
        <v>45345</v>
      </c>
      <c r="C54" s="10" t="str">
        <f>TEXT(Table2[[#This Row],[Date]],"mmm-yyyy")</f>
        <v>Feb-2024</v>
      </c>
      <c r="D54" s="7" t="s">
        <v>3</v>
      </c>
      <c r="E54" s="7" t="s">
        <v>27</v>
      </c>
      <c r="F54" s="7">
        <v>5</v>
      </c>
      <c r="G54" s="13">
        <v>11249</v>
      </c>
      <c r="H54" s="13">
        <v>1258</v>
      </c>
      <c r="I54" s="7" t="s">
        <v>36</v>
      </c>
      <c r="J54" s="14">
        <f t="shared" si="0"/>
        <v>56245</v>
      </c>
      <c r="K54" s="14">
        <f>Table2[[#This Row],[Revenue]]-Table2[[#This Row],[Expense]]</f>
        <v>54987</v>
      </c>
    </row>
    <row r="55" spans="1:11">
      <c r="A55" s="16" t="s">
        <v>78</v>
      </c>
      <c r="B55" s="10">
        <v>45345</v>
      </c>
      <c r="C55" s="10" t="str">
        <f>TEXT(Table2[[#This Row],[Date]],"mmm-yyyy")</f>
        <v>Feb-2024</v>
      </c>
      <c r="D55" s="7" t="s">
        <v>1</v>
      </c>
      <c r="E55" s="7" t="s">
        <v>24</v>
      </c>
      <c r="F55" s="7">
        <v>8</v>
      </c>
      <c r="G55" s="13">
        <v>76772</v>
      </c>
      <c r="H55" s="13">
        <v>38396</v>
      </c>
      <c r="I55" s="7" t="s">
        <v>19</v>
      </c>
      <c r="J55" s="14">
        <f t="shared" si="0"/>
        <v>614176</v>
      </c>
      <c r="K55" s="14">
        <f>Table2[[#This Row],[Revenue]]-Table2[[#This Row],[Expense]]</f>
        <v>575780</v>
      </c>
    </row>
    <row r="56" spans="1:11">
      <c r="A56" s="16" t="s">
        <v>79</v>
      </c>
      <c r="B56" s="10">
        <v>45346</v>
      </c>
      <c r="C56" s="10" t="str">
        <f>TEXT(Table2[[#This Row],[Date]],"mmm-yyyy")</f>
        <v>Feb-2024</v>
      </c>
      <c r="D56" s="7" t="s">
        <v>1</v>
      </c>
      <c r="E56" s="7" t="s">
        <v>27</v>
      </c>
      <c r="F56" s="7">
        <v>8</v>
      </c>
      <c r="G56" s="13">
        <v>60733</v>
      </c>
      <c r="H56" s="13">
        <v>12329</v>
      </c>
      <c r="I56" s="7" t="s">
        <v>19</v>
      </c>
      <c r="J56" s="14">
        <f t="shared" si="0"/>
        <v>485864</v>
      </c>
      <c r="K56" s="14">
        <f>Table2[[#This Row],[Revenue]]-Table2[[#This Row],[Expense]]</f>
        <v>473535</v>
      </c>
    </row>
    <row r="57" spans="1:11">
      <c r="A57" s="16" t="s">
        <v>80</v>
      </c>
      <c r="B57" s="10">
        <v>45349</v>
      </c>
      <c r="C57" s="10" t="str">
        <f>TEXT(Table2[[#This Row],[Date]],"mmm-yyyy")</f>
        <v>Feb-2024</v>
      </c>
      <c r="D57" s="7" t="s">
        <v>1</v>
      </c>
      <c r="E57" s="7" t="s">
        <v>16</v>
      </c>
      <c r="F57" s="7">
        <v>2</v>
      </c>
      <c r="G57" s="13">
        <v>38143</v>
      </c>
      <c r="H57" s="13">
        <v>7370</v>
      </c>
      <c r="I57" s="7" t="s">
        <v>30</v>
      </c>
      <c r="J57" s="14">
        <f t="shared" si="0"/>
        <v>76286</v>
      </c>
      <c r="K57" s="14">
        <f>Table2[[#This Row],[Revenue]]-Table2[[#This Row],[Expense]]</f>
        <v>68916</v>
      </c>
    </row>
    <row r="58" spans="1:11">
      <c r="A58" s="16" t="s">
        <v>81</v>
      </c>
      <c r="B58" s="10">
        <v>45350</v>
      </c>
      <c r="C58" s="10" t="str">
        <f>TEXT(Table2[[#This Row],[Date]],"mmm-yyyy")</f>
        <v>Feb-2024</v>
      </c>
      <c r="D58" s="7" t="s">
        <v>3</v>
      </c>
      <c r="E58" s="7" t="s">
        <v>22</v>
      </c>
      <c r="F58" s="7">
        <v>2</v>
      </c>
      <c r="G58" s="13">
        <v>1867</v>
      </c>
      <c r="H58" s="13">
        <v>22727</v>
      </c>
      <c r="I58" s="7" t="s">
        <v>36</v>
      </c>
      <c r="J58" s="14">
        <f t="shared" si="0"/>
        <v>3734</v>
      </c>
      <c r="K58" s="14">
        <f>Table2[[#This Row],[Revenue]]-Table2[[#This Row],[Expense]]</f>
        <v>-18993</v>
      </c>
    </row>
    <row r="59" spans="1:11">
      <c r="A59" s="16" t="s">
        <v>82</v>
      </c>
      <c r="B59" s="10">
        <v>45351</v>
      </c>
      <c r="C59" s="10" t="str">
        <f>TEXT(Table2[[#This Row],[Date]],"mmm-yyyy")</f>
        <v>Feb-2024</v>
      </c>
      <c r="D59" s="7" t="s">
        <v>1</v>
      </c>
      <c r="E59" s="7" t="s">
        <v>27</v>
      </c>
      <c r="F59" s="7">
        <v>7</v>
      </c>
      <c r="G59" s="13">
        <v>23677</v>
      </c>
      <c r="H59" s="13">
        <v>8239</v>
      </c>
      <c r="I59" s="7" t="s">
        <v>30</v>
      </c>
      <c r="J59" s="14">
        <f t="shared" si="0"/>
        <v>165739</v>
      </c>
      <c r="K59" s="14">
        <f>Table2[[#This Row],[Revenue]]-Table2[[#This Row],[Expense]]</f>
        <v>157500</v>
      </c>
    </row>
    <row r="60" spans="1:11">
      <c r="A60" s="16" t="s">
        <v>83</v>
      </c>
      <c r="B60" s="10">
        <v>45353</v>
      </c>
      <c r="C60" s="10" t="str">
        <f>TEXT(Table2[[#This Row],[Date]],"mmm-yyyy")</f>
        <v>Mar-2024</v>
      </c>
      <c r="D60" s="7" t="s">
        <v>1</v>
      </c>
      <c r="E60" s="7" t="s">
        <v>24</v>
      </c>
      <c r="F60" s="7">
        <v>6</v>
      </c>
      <c r="G60" s="13">
        <v>65608</v>
      </c>
      <c r="H60" s="13">
        <v>47850</v>
      </c>
      <c r="I60" s="7" t="s">
        <v>30</v>
      </c>
      <c r="J60" s="14">
        <f t="shared" si="0"/>
        <v>393648</v>
      </c>
      <c r="K60" s="14">
        <f>Table2[[#This Row],[Revenue]]-Table2[[#This Row],[Expense]]</f>
        <v>345798</v>
      </c>
    </row>
    <row r="61" spans="1:11">
      <c r="A61" s="16" t="s">
        <v>84</v>
      </c>
      <c r="B61" s="10">
        <v>45353</v>
      </c>
      <c r="C61" s="10" t="str">
        <f>TEXT(Table2[[#This Row],[Date]],"mmm-yyyy")</f>
        <v>Mar-2024</v>
      </c>
      <c r="D61" s="7" t="s">
        <v>26</v>
      </c>
      <c r="E61" s="7" t="s">
        <v>22</v>
      </c>
      <c r="F61" s="7">
        <v>1</v>
      </c>
      <c r="G61" s="13">
        <v>40391</v>
      </c>
      <c r="H61" s="13">
        <v>9461</v>
      </c>
      <c r="I61" s="7" t="s">
        <v>17</v>
      </c>
      <c r="J61" s="14">
        <f t="shared" si="0"/>
        <v>40391</v>
      </c>
      <c r="K61" s="14">
        <f>Table2[[#This Row],[Revenue]]-Table2[[#This Row],[Expense]]</f>
        <v>30930</v>
      </c>
    </row>
    <row r="62" spans="1:11">
      <c r="A62" s="16" t="s">
        <v>85</v>
      </c>
      <c r="B62" s="10">
        <v>45354</v>
      </c>
      <c r="C62" s="10" t="str">
        <f>TEXT(Table2[[#This Row],[Date]],"mmm-yyyy")</f>
        <v>Mar-2024</v>
      </c>
      <c r="D62" s="7" t="s">
        <v>1</v>
      </c>
      <c r="E62" s="7" t="s">
        <v>16</v>
      </c>
      <c r="F62" s="7">
        <v>9</v>
      </c>
      <c r="G62" s="13">
        <v>66181</v>
      </c>
      <c r="H62" s="13">
        <v>10518</v>
      </c>
      <c r="I62" s="7" t="s">
        <v>17</v>
      </c>
      <c r="J62" s="14">
        <f t="shared" si="0"/>
        <v>595629</v>
      </c>
      <c r="K62" s="14">
        <f>Table2[[#This Row],[Revenue]]-Table2[[#This Row],[Expense]]</f>
        <v>585111</v>
      </c>
    </row>
    <row r="63" spans="1:11">
      <c r="A63" s="16" t="s">
        <v>86</v>
      </c>
      <c r="B63" s="10">
        <v>45354</v>
      </c>
      <c r="C63" s="10" t="str">
        <f>TEXT(Table2[[#This Row],[Date]],"mmm-yyyy")</f>
        <v>Mar-2024</v>
      </c>
      <c r="D63" s="7" t="s">
        <v>4</v>
      </c>
      <c r="E63" s="7" t="s">
        <v>16</v>
      </c>
      <c r="F63" s="7">
        <v>2</v>
      </c>
      <c r="G63" s="13">
        <v>4755</v>
      </c>
      <c r="H63" s="13">
        <v>3839</v>
      </c>
      <c r="I63" s="7" t="s">
        <v>30</v>
      </c>
      <c r="J63" s="14">
        <f t="shared" si="0"/>
        <v>9510</v>
      </c>
      <c r="K63" s="14">
        <f>Table2[[#This Row],[Revenue]]-Table2[[#This Row],[Expense]]</f>
        <v>5671</v>
      </c>
    </row>
    <row r="64" spans="1:11">
      <c r="A64" s="16" t="s">
        <v>87</v>
      </c>
      <c r="B64" s="10">
        <v>45356</v>
      </c>
      <c r="C64" s="10" t="str">
        <f>TEXT(Table2[[#This Row],[Date]],"mmm-yyyy")</f>
        <v>Mar-2024</v>
      </c>
      <c r="D64" s="7" t="s">
        <v>4</v>
      </c>
      <c r="E64" s="7" t="s">
        <v>32</v>
      </c>
      <c r="F64" s="7">
        <v>3</v>
      </c>
      <c r="G64" s="13">
        <v>75888</v>
      </c>
      <c r="H64" s="13">
        <v>29854</v>
      </c>
      <c r="I64" s="7" t="s">
        <v>19</v>
      </c>
      <c r="J64" s="14">
        <f t="shared" si="0"/>
        <v>227664</v>
      </c>
      <c r="K64" s="14">
        <f>Table2[[#This Row],[Revenue]]-Table2[[#This Row],[Expense]]</f>
        <v>197810</v>
      </c>
    </row>
    <row r="65" spans="1:11">
      <c r="A65" s="16" t="s">
        <v>88</v>
      </c>
      <c r="B65" s="10">
        <v>45357</v>
      </c>
      <c r="C65" s="10" t="str">
        <f>TEXT(Table2[[#This Row],[Date]],"mmm-yyyy")</f>
        <v>Mar-2024</v>
      </c>
      <c r="D65" s="7" t="s">
        <v>3</v>
      </c>
      <c r="E65" s="7" t="s">
        <v>16</v>
      </c>
      <c r="F65" s="7">
        <v>4</v>
      </c>
      <c r="G65" s="13">
        <v>29828</v>
      </c>
      <c r="H65" s="13">
        <v>1162</v>
      </c>
      <c r="I65" s="7" t="s">
        <v>36</v>
      </c>
      <c r="J65" s="14">
        <f t="shared" si="0"/>
        <v>119312</v>
      </c>
      <c r="K65" s="14">
        <f>Table2[[#This Row],[Revenue]]-Table2[[#This Row],[Expense]]</f>
        <v>118150</v>
      </c>
    </row>
    <row r="66" spans="1:11">
      <c r="A66" s="16" t="s">
        <v>89</v>
      </c>
      <c r="B66" s="10">
        <v>45359</v>
      </c>
      <c r="C66" s="10" t="str">
        <f>TEXT(Table2[[#This Row],[Date]],"mmm-yyyy")</f>
        <v>Mar-2024</v>
      </c>
      <c r="D66" s="7" t="s">
        <v>2</v>
      </c>
      <c r="E66" s="7" t="s">
        <v>22</v>
      </c>
      <c r="F66" s="7">
        <v>7</v>
      </c>
      <c r="G66" s="13">
        <v>7599</v>
      </c>
      <c r="H66" s="13">
        <v>21095</v>
      </c>
      <c r="I66" s="7" t="s">
        <v>30</v>
      </c>
      <c r="J66" s="14">
        <f t="shared" ref="J66:J129" si="1">G66*F66</f>
        <v>53193</v>
      </c>
      <c r="K66" s="14">
        <f>Table2[[#This Row],[Revenue]]-Table2[[#This Row],[Expense]]</f>
        <v>32098</v>
      </c>
    </row>
    <row r="67" spans="1:11">
      <c r="A67" s="16" t="s">
        <v>90</v>
      </c>
      <c r="B67" s="10">
        <v>45363</v>
      </c>
      <c r="C67" s="10" t="str">
        <f>TEXT(Table2[[#This Row],[Date]],"mmm-yyyy")</f>
        <v>Mar-2024</v>
      </c>
      <c r="D67" s="7" t="s">
        <v>15</v>
      </c>
      <c r="E67" s="7" t="s">
        <v>32</v>
      </c>
      <c r="F67" s="7">
        <v>2</v>
      </c>
      <c r="G67" s="13">
        <v>36987</v>
      </c>
      <c r="H67" s="13">
        <v>20921</v>
      </c>
      <c r="I67" s="7" t="s">
        <v>19</v>
      </c>
      <c r="J67" s="14">
        <f t="shared" si="1"/>
        <v>73974</v>
      </c>
      <c r="K67" s="14">
        <f>Table2[[#This Row],[Revenue]]-Table2[[#This Row],[Expense]]</f>
        <v>53053</v>
      </c>
    </row>
    <row r="68" spans="1:11">
      <c r="A68" s="16" t="s">
        <v>91</v>
      </c>
      <c r="B68" s="10">
        <v>45366</v>
      </c>
      <c r="C68" s="10" t="str">
        <f>TEXT(Table2[[#This Row],[Date]],"mmm-yyyy")</f>
        <v>Mar-2024</v>
      </c>
      <c r="D68" s="7" t="s">
        <v>4</v>
      </c>
      <c r="E68" s="7" t="s">
        <v>32</v>
      </c>
      <c r="F68" s="7">
        <v>4</v>
      </c>
      <c r="G68" s="13">
        <v>73430</v>
      </c>
      <c r="H68" s="13">
        <v>7629</v>
      </c>
      <c r="I68" s="7" t="s">
        <v>17</v>
      </c>
      <c r="J68" s="14">
        <f t="shared" si="1"/>
        <v>293720</v>
      </c>
      <c r="K68" s="14">
        <f>Table2[[#This Row],[Revenue]]-Table2[[#This Row],[Expense]]</f>
        <v>286091</v>
      </c>
    </row>
    <row r="69" spans="1:11">
      <c r="A69" s="16" t="s">
        <v>92</v>
      </c>
      <c r="B69" s="10">
        <v>45372</v>
      </c>
      <c r="C69" s="10" t="str">
        <f>TEXT(Table2[[#This Row],[Date]],"mmm-yyyy")</f>
        <v>Mar-2024</v>
      </c>
      <c r="D69" s="7" t="s">
        <v>4</v>
      </c>
      <c r="E69" s="7" t="s">
        <v>22</v>
      </c>
      <c r="F69" s="7">
        <v>1</v>
      </c>
      <c r="G69" s="13">
        <v>9406</v>
      </c>
      <c r="H69" s="13">
        <v>24705</v>
      </c>
      <c r="I69" s="7" t="s">
        <v>36</v>
      </c>
      <c r="J69" s="14">
        <f t="shared" si="1"/>
        <v>9406</v>
      </c>
      <c r="K69" s="14">
        <f>Table2[[#This Row],[Revenue]]-Table2[[#This Row],[Expense]]</f>
        <v>-15299</v>
      </c>
    </row>
    <row r="70" spans="1:11">
      <c r="A70" s="16" t="s">
        <v>93</v>
      </c>
      <c r="B70" s="10">
        <v>45372</v>
      </c>
      <c r="C70" s="10" t="str">
        <f>TEXT(Table2[[#This Row],[Date]],"mmm-yyyy")</f>
        <v>Mar-2024</v>
      </c>
      <c r="D70" s="7" t="s">
        <v>1</v>
      </c>
      <c r="E70" s="7" t="s">
        <v>24</v>
      </c>
      <c r="F70" s="7">
        <v>5</v>
      </c>
      <c r="G70" s="13">
        <v>64674</v>
      </c>
      <c r="H70" s="13">
        <v>34787</v>
      </c>
      <c r="I70" s="7" t="s">
        <v>17</v>
      </c>
      <c r="J70" s="14">
        <f t="shared" si="1"/>
        <v>323370</v>
      </c>
      <c r="K70" s="14">
        <f>Table2[[#This Row],[Revenue]]-Table2[[#This Row],[Expense]]</f>
        <v>288583</v>
      </c>
    </row>
    <row r="71" spans="1:11">
      <c r="A71" s="16" t="s">
        <v>94</v>
      </c>
      <c r="B71" s="10">
        <v>45372</v>
      </c>
      <c r="C71" s="10" t="str">
        <f>TEXT(Table2[[#This Row],[Date]],"mmm-yyyy")</f>
        <v>Mar-2024</v>
      </c>
      <c r="D71" s="7" t="s">
        <v>15</v>
      </c>
      <c r="E71" s="7" t="s">
        <v>16</v>
      </c>
      <c r="F71" s="7">
        <v>9</v>
      </c>
      <c r="G71" s="13">
        <v>64809</v>
      </c>
      <c r="H71" s="13">
        <v>10879</v>
      </c>
      <c r="I71" s="7" t="s">
        <v>36</v>
      </c>
      <c r="J71" s="14">
        <f t="shared" si="1"/>
        <v>583281</v>
      </c>
      <c r="K71" s="14">
        <f>Table2[[#This Row],[Revenue]]-Table2[[#This Row],[Expense]]</f>
        <v>572402</v>
      </c>
    </row>
    <row r="72" spans="1:11">
      <c r="A72" s="16" t="s">
        <v>95</v>
      </c>
      <c r="B72" s="10">
        <v>45377</v>
      </c>
      <c r="C72" s="10" t="str">
        <f>TEXT(Table2[[#This Row],[Date]],"mmm-yyyy")</f>
        <v>Mar-2024</v>
      </c>
      <c r="D72" s="7" t="s">
        <v>1</v>
      </c>
      <c r="E72" s="7" t="s">
        <v>24</v>
      </c>
      <c r="F72" s="7">
        <v>4</v>
      </c>
      <c r="G72" s="13">
        <v>707</v>
      </c>
      <c r="H72" s="13">
        <v>10435</v>
      </c>
      <c r="I72" s="7" t="s">
        <v>36</v>
      </c>
      <c r="J72" s="14">
        <f t="shared" si="1"/>
        <v>2828</v>
      </c>
      <c r="K72" s="14">
        <f>Table2[[#This Row],[Revenue]]-Table2[[#This Row],[Expense]]</f>
        <v>-7607</v>
      </c>
    </row>
    <row r="73" spans="1:11">
      <c r="A73" s="16" t="s">
        <v>96</v>
      </c>
      <c r="B73" s="10">
        <v>45379</v>
      </c>
      <c r="C73" s="10" t="str">
        <f>TEXT(Table2[[#This Row],[Date]],"mmm-yyyy")</f>
        <v>Mar-2024</v>
      </c>
      <c r="D73" s="7" t="s">
        <v>4</v>
      </c>
      <c r="E73" s="7" t="s">
        <v>27</v>
      </c>
      <c r="F73" s="7">
        <v>3</v>
      </c>
      <c r="G73" s="13">
        <v>47555</v>
      </c>
      <c r="H73" s="13">
        <v>21567</v>
      </c>
      <c r="I73" s="7" t="s">
        <v>36</v>
      </c>
      <c r="J73" s="14">
        <f t="shared" si="1"/>
        <v>142665</v>
      </c>
      <c r="K73" s="14">
        <f>Table2[[#This Row],[Revenue]]-Table2[[#This Row],[Expense]]</f>
        <v>121098</v>
      </c>
    </row>
    <row r="74" spans="1:11">
      <c r="A74" s="16" t="s">
        <v>97</v>
      </c>
      <c r="B74" s="10">
        <v>45380</v>
      </c>
      <c r="C74" s="10" t="str">
        <f>TEXT(Table2[[#This Row],[Date]],"mmm-yyyy")</f>
        <v>Mar-2024</v>
      </c>
      <c r="D74" s="7" t="s">
        <v>1</v>
      </c>
      <c r="E74" s="7" t="s">
        <v>32</v>
      </c>
      <c r="F74" s="7">
        <v>7</v>
      </c>
      <c r="G74" s="13">
        <v>54051</v>
      </c>
      <c r="H74" s="13">
        <v>20873</v>
      </c>
      <c r="I74" s="7" t="s">
        <v>19</v>
      </c>
      <c r="J74" s="14">
        <f t="shared" si="1"/>
        <v>378357</v>
      </c>
      <c r="K74" s="14">
        <f>Table2[[#This Row],[Revenue]]-Table2[[#This Row],[Expense]]</f>
        <v>357484</v>
      </c>
    </row>
    <row r="75" spans="1:11">
      <c r="A75" s="16" t="s">
        <v>98</v>
      </c>
      <c r="B75" s="10">
        <v>45383</v>
      </c>
      <c r="C75" s="10" t="str">
        <f>TEXT(Table2[[#This Row],[Date]],"mmm-yyyy")</f>
        <v>Apr-2024</v>
      </c>
      <c r="D75" s="7" t="s">
        <v>2</v>
      </c>
      <c r="E75" s="7" t="s">
        <v>32</v>
      </c>
      <c r="F75" s="7">
        <v>5</v>
      </c>
      <c r="G75" s="13">
        <v>79214</v>
      </c>
      <c r="H75" s="13">
        <v>24762</v>
      </c>
      <c r="I75" s="7" t="s">
        <v>17</v>
      </c>
      <c r="J75" s="14">
        <f t="shared" si="1"/>
        <v>396070</v>
      </c>
      <c r="K75" s="14">
        <f>Table2[[#This Row],[Revenue]]-Table2[[#This Row],[Expense]]</f>
        <v>371308</v>
      </c>
    </row>
    <row r="76" spans="1:11">
      <c r="A76" s="16" t="s">
        <v>99</v>
      </c>
      <c r="B76" s="10">
        <v>45386</v>
      </c>
      <c r="C76" s="10" t="str">
        <f>TEXT(Table2[[#This Row],[Date]],"mmm-yyyy")</f>
        <v>Apr-2024</v>
      </c>
      <c r="D76" s="7" t="s">
        <v>26</v>
      </c>
      <c r="E76" s="7" t="s">
        <v>22</v>
      </c>
      <c r="F76" s="7">
        <v>4</v>
      </c>
      <c r="G76" s="13">
        <v>45500</v>
      </c>
      <c r="H76" s="13">
        <v>2089</v>
      </c>
      <c r="I76" s="7" t="s">
        <v>36</v>
      </c>
      <c r="J76" s="14">
        <f t="shared" si="1"/>
        <v>182000</v>
      </c>
      <c r="K76" s="14">
        <f>Table2[[#This Row],[Revenue]]-Table2[[#This Row],[Expense]]</f>
        <v>179911</v>
      </c>
    </row>
    <row r="77" spans="1:11">
      <c r="A77" s="16" t="s">
        <v>100</v>
      </c>
      <c r="B77" s="10">
        <v>45387</v>
      </c>
      <c r="C77" s="10" t="str">
        <f>TEXT(Table2[[#This Row],[Date]],"mmm-yyyy")</f>
        <v>Apr-2024</v>
      </c>
      <c r="D77" s="7" t="s">
        <v>26</v>
      </c>
      <c r="E77" s="7" t="s">
        <v>24</v>
      </c>
      <c r="F77" s="7">
        <v>1</v>
      </c>
      <c r="G77" s="13">
        <v>45613</v>
      </c>
      <c r="H77" s="13">
        <v>18069</v>
      </c>
      <c r="I77" s="7" t="s">
        <v>19</v>
      </c>
      <c r="J77" s="14">
        <f t="shared" si="1"/>
        <v>45613</v>
      </c>
      <c r="K77" s="14">
        <f>Table2[[#This Row],[Revenue]]-Table2[[#This Row],[Expense]]</f>
        <v>27544</v>
      </c>
    </row>
    <row r="78" spans="1:11">
      <c r="A78" s="16" t="s">
        <v>101</v>
      </c>
      <c r="B78" s="10">
        <v>45387</v>
      </c>
      <c r="C78" s="10" t="str">
        <f>TEXT(Table2[[#This Row],[Date]],"mmm-yyyy")</f>
        <v>Apr-2024</v>
      </c>
      <c r="D78" s="7" t="s">
        <v>15</v>
      </c>
      <c r="E78" s="7" t="s">
        <v>24</v>
      </c>
      <c r="F78" s="7">
        <v>1</v>
      </c>
      <c r="G78" s="13">
        <v>74361</v>
      </c>
      <c r="H78" s="13">
        <v>19322</v>
      </c>
      <c r="I78" s="7" t="s">
        <v>17</v>
      </c>
      <c r="J78" s="14">
        <f t="shared" si="1"/>
        <v>74361</v>
      </c>
      <c r="K78" s="14">
        <f>Table2[[#This Row],[Revenue]]-Table2[[#This Row],[Expense]]</f>
        <v>55039</v>
      </c>
    </row>
    <row r="79" spans="1:11">
      <c r="A79" s="16" t="s">
        <v>102</v>
      </c>
      <c r="B79" s="10">
        <v>45388</v>
      </c>
      <c r="C79" s="10" t="str">
        <f>TEXT(Table2[[#This Row],[Date]],"mmm-yyyy")</f>
        <v>Apr-2024</v>
      </c>
      <c r="D79" s="7" t="s">
        <v>15</v>
      </c>
      <c r="E79" s="7" t="s">
        <v>16</v>
      </c>
      <c r="F79" s="7">
        <v>2</v>
      </c>
      <c r="G79" s="13">
        <v>56177</v>
      </c>
      <c r="H79" s="13">
        <v>19708</v>
      </c>
      <c r="I79" s="7" t="s">
        <v>19</v>
      </c>
      <c r="J79" s="14">
        <f t="shared" si="1"/>
        <v>112354</v>
      </c>
      <c r="K79" s="14">
        <f>Table2[[#This Row],[Revenue]]-Table2[[#This Row],[Expense]]</f>
        <v>92646</v>
      </c>
    </row>
    <row r="80" spans="1:11">
      <c r="A80" s="16" t="s">
        <v>103</v>
      </c>
      <c r="B80" s="10">
        <v>45388</v>
      </c>
      <c r="C80" s="10" t="str">
        <f>TEXT(Table2[[#This Row],[Date]],"mmm-yyyy")</f>
        <v>Apr-2024</v>
      </c>
      <c r="D80" s="7" t="s">
        <v>3</v>
      </c>
      <c r="E80" s="7" t="s">
        <v>27</v>
      </c>
      <c r="F80" s="7">
        <v>8</v>
      </c>
      <c r="G80" s="13">
        <v>18130</v>
      </c>
      <c r="H80" s="13">
        <v>5079</v>
      </c>
      <c r="I80" s="7" t="s">
        <v>19</v>
      </c>
      <c r="J80" s="14">
        <f t="shared" si="1"/>
        <v>145040</v>
      </c>
      <c r="K80" s="14">
        <f>Table2[[#This Row],[Revenue]]-Table2[[#This Row],[Expense]]</f>
        <v>139961</v>
      </c>
    </row>
    <row r="81" spans="1:11">
      <c r="A81" s="16" t="s">
        <v>104</v>
      </c>
      <c r="B81" s="10">
        <v>45389</v>
      </c>
      <c r="C81" s="10" t="str">
        <f>TEXT(Table2[[#This Row],[Date]],"mmm-yyyy")</f>
        <v>Apr-2024</v>
      </c>
      <c r="D81" s="7" t="s">
        <v>1</v>
      </c>
      <c r="E81" s="7" t="s">
        <v>24</v>
      </c>
      <c r="F81" s="7">
        <v>6</v>
      </c>
      <c r="G81" s="13">
        <v>61045</v>
      </c>
      <c r="H81" s="13">
        <v>17994</v>
      </c>
      <c r="I81" s="7" t="s">
        <v>30</v>
      </c>
      <c r="J81" s="14">
        <f t="shared" si="1"/>
        <v>366270</v>
      </c>
      <c r="K81" s="14">
        <f>Table2[[#This Row],[Revenue]]-Table2[[#This Row],[Expense]]</f>
        <v>348276</v>
      </c>
    </row>
    <row r="82" spans="1:11">
      <c r="A82" s="16" t="s">
        <v>105</v>
      </c>
      <c r="B82" s="10">
        <v>45390</v>
      </c>
      <c r="C82" s="10" t="str">
        <f>TEXT(Table2[[#This Row],[Date]],"mmm-yyyy")</f>
        <v>Apr-2024</v>
      </c>
      <c r="D82" s="7" t="s">
        <v>2</v>
      </c>
      <c r="E82" s="7" t="s">
        <v>22</v>
      </c>
      <c r="F82" s="7">
        <v>1</v>
      </c>
      <c r="G82" s="13">
        <v>56254</v>
      </c>
      <c r="H82" s="13">
        <v>43845</v>
      </c>
      <c r="I82" s="7" t="s">
        <v>17</v>
      </c>
      <c r="J82" s="14">
        <f t="shared" si="1"/>
        <v>56254</v>
      </c>
      <c r="K82" s="14">
        <f>Table2[[#This Row],[Revenue]]-Table2[[#This Row],[Expense]]</f>
        <v>12409</v>
      </c>
    </row>
    <row r="83" spans="1:11">
      <c r="A83" s="16" t="s">
        <v>106</v>
      </c>
      <c r="B83" s="10">
        <v>45390</v>
      </c>
      <c r="C83" s="10" t="str">
        <f>TEXT(Table2[[#This Row],[Date]],"mmm-yyyy")</f>
        <v>Apr-2024</v>
      </c>
      <c r="D83" s="7" t="s">
        <v>4</v>
      </c>
      <c r="E83" s="7" t="s">
        <v>16</v>
      </c>
      <c r="F83" s="7">
        <v>7</v>
      </c>
      <c r="G83" s="13">
        <v>69752</v>
      </c>
      <c r="H83" s="13">
        <v>7852</v>
      </c>
      <c r="I83" s="7" t="s">
        <v>19</v>
      </c>
      <c r="J83" s="14">
        <f t="shared" si="1"/>
        <v>488264</v>
      </c>
      <c r="K83" s="14">
        <f>Table2[[#This Row],[Revenue]]-Table2[[#This Row],[Expense]]</f>
        <v>480412</v>
      </c>
    </row>
    <row r="84" spans="1:11">
      <c r="A84" s="16" t="s">
        <v>107</v>
      </c>
      <c r="B84" s="10">
        <v>45390</v>
      </c>
      <c r="C84" s="10" t="str">
        <f>TEXT(Table2[[#This Row],[Date]],"mmm-yyyy")</f>
        <v>Apr-2024</v>
      </c>
      <c r="D84" s="7" t="s">
        <v>2</v>
      </c>
      <c r="E84" s="7" t="s">
        <v>32</v>
      </c>
      <c r="F84" s="7">
        <v>3</v>
      </c>
      <c r="G84" s="13">
        <v>41924</v>
      </c>
      <c r="H84" s="13">
        <v>20909</v>
      </c>
      <c r="I84" s="7" t="s">
        <v>17</v>
      </c>
      <c r="J84" s="14">
        <f t="shared" si="1"/>
        <v>125772</v>
      </c>
      <c r="K84" s="14">
        <f>Table2[[#This Row],[Revenue]]-Table2[[#This Row],[Expense]]</f>
        <v>104863</v>
      </c>
    </row>
    <row r="85" spans="1:11">
      <c r="A85" s="16" t="s">
        <v>108</v>
      </c>
      <c r="B85" s="10">
        <v>45390</v>
      </c>
      <c r="C85" s="10" t="str">
        <f>TEXT(Table2[[#This Row],[Date]],"mmm-yyyy")</f>
        <v>Apr-2024</v>
      </c>
      <c r="D85" s="7" t="s">
        <v>15</v>
      </c>
      <c r="E85" s="7" t="s">
        <v>32</v>
      </c>
      <c r="F85" s="7">
        <v>2</v>
      </c>
      <c r="G85" s="13">
        <v>3691</v>
      </c>
      <c r="H85" s="13">
        <v>12205</v>
      </c>
      <c r="I85" s="7" t="s">
        <v>17</v>
      </c>
      <c r="J85" s="14">
        <f t="shared" si="1"/>
        <v>7382</v>
      </c>
      <c r="K85" s="14">
        <f>Table2[[#This Row],[Revenue]]-Table2[[#This Row],[Expense]]</f>
        <v>-4823</v>
      </c>
    </row>
    <row r="86" spans="1:11">
      <c r="A86" s="16" t="s">
        <v>109</v>
      </c>
      <c r="B86" s="10">
        <v>45390</v>
      </c>
      <c r="C86" s="10" t="str">
        <f>TEXT(Table2[[#This Row],[Date]],"mmm-yyyy")</f>
        <v>Apr-2024</v>
      </c>
      <c r="D86" s="7" t="s">
        <v>3</v>
      </c>
      <c r="E86" s="7" t="s">
        <v>22</v>
      </c>
      <c r="F86" s="7">
        <v>7</v>
      </c>
      <c r="G86" s="13">
        <v>70019</v>
      </c>
      <c r="H86" s="13">
        <v>7980</v>
      </c>
      <c r="I86" s="7" t="s">
        <v>30</v>
      </c>
      <c r="J86" s="14">
        <f t="shared" si="1"/>
        <v>490133</v>
      </c>
      <c r="K86" s="14">
        <f>Table2[[#This Row],[Revenue]]-Table2[[#This Row],[Expense]]</f>
        <v>482153</v>
      </c>
    </row>
    <row r="87" spans="1:11">
      <c r="A87" s="16" t="s">
        <v>110</v>
      </c>
      <c r="B87" s="10">
        <v>45390</v>
      </c>
      <c r="C87" s="10" t="str">
        <f>TEXT(Table2[[#This Row],[Date]],"mmm-yyyy")</f>
        <v>Apr-2024</v>
      </c>
      <c r="D87" s="7" t="s">
        <v>4</v>
      </c>
      <c r="E87" s="7" t="s">
        <v>24</v>
      </c>
      <c r="F87" s="7">
        <v>5</v>
      </c>
      <c r="G87" s="13">
        <v>22668</v>
      </c>
      <c r="H87" s="13">
        <v>38346</v>
      </c>
      <c r="I87" s="7" t="s">
        <v>36</v>
      </c>
      <c r="J87" s="14">
        <f t="shared" si="1"/>
        <v>113340</v>
      </c>
      <c r="K87" s="14">
        <f>Table2[[#This Row],[Revenue]]-Table2[[#This Row],[Expense]]</f>
        <v>74994</v>
      </c>
    </row>
    <row r="88" spans="1:11">
      <c r="A88" s="16" t="s">
        <v>111</v>
      </c>
      <c r="B88" s="10">
        <v>45391</v>
      </c>
      <c r="C88" s="10" t="str">
        <f>TEXT(Table2[[#This Row],[Date]],"mmm-yyyy")</f>
        <v>Apr-2024</v>
      </c>
      <c r="D88" s="7" t="s">
        <v>2</v>
      </c>
      <c r="E88" s="7" t="s">
        <v>24</v>
      </c>
      <c r="F88" s="7">
        <v>5</v>
      </c>
      <c r="G88" s="13">
        <v>42787</v>
      </c>
      <c r="H88" s="13">
        <v>44285</v>
      </c>
      <c r="I88" s="7" t="s">
        <v>36</v>
      </c>
      <c r="J88" s="14">
        <f t="shared" si="1"/>
        <v>213935</v>
      </c>
      <c r="K88" s="14">
        <f>Table2[[#This Row],[Revenue]]-Table2[[#This Row],[Expense]]</f>
        <v>169650</v>
      </c>
    </row>
    <row r="89" spans="1:11">
      <c r="A89" s="16" t="s">
        <v>112</v>
      </c>
      <c r="B89" s="10">
        <v>45392</v>
      </c>
      <c r="C89" s="10" t="str">
        <f>TEXT(Table2[[#This Row],[Date]],"mmm-yyyy")</f>
        <v>Apr-2024</v>
      </c>
      <c r="D89" s="7" t="s">
        <v>4</v>
      </c>
      <c r="E89" s="7" t="s">
        <v>16</v>
      </c>
      <c r="F89" s="7">
        <v>8</v>
      </c>
      <c r="G89" s="13">
        <v>76829</v>
      </c>
      <c r="H89" s="13">
        <v>18833</v>
      </c>
      <c r="I89" s="7" t="s">
        <v>36</v>
      </c>
      <c r="J89" s="14">
        <f t="shared" si="1"/>
        <v>614632</v>
      </c>
      <c r="K89" s="14">
        <f>Table2[[#This Row],[Revenue]]-Table2[[#This Row],[Expense]]</f>
        <v>595799</v>
      </c>
    </row>
    <row r="90" spans="1:11">
      <c r="A90" s="16" t="s">
        <v>113</v>
      </c>
      <c r="B90" s="10">
        <v>45392</v>
      </c>
      <c r="C90" s="10" t="str">
        <f>TEXT(Table2[[#This Row],[Date]],"mmm-yyyy")</f>
        <v>Apr-2024</v>
      </c>
      <c r="D90" s="7" t="s">
        <v>3</v>
      </c>
      <c r="E90" s="7" t="s">
        <v>22</v>
      </c>
      <c r="F90" s="7">
        <v>8</v>
      </c>
      <c r="G90" s="13">
        <v>6156</v>
      </c>
      <c r="H90" s="13">
        <v>34365</v>
      </c>
      <c r="I90" s="7" t="s">
        <v>36</v>
      </c>
      <c r="J90" s="14">
        <f t="shared" si="1"/>
        <v>49248</v>
      </c>
      <c r="K90" s="14">
        <f>Table2[[#This Row],[Revenue]]-Table2[[#This Row],[Expense]]</f>
        <v>14883</v>
      </c>
    </row>
    <row r="91" spans="1:11">
      <c r="A91" t="s">
        <v>455</v>
      </c>
      <c r="B91" s="10">
        <v>45394</v>
      </c>
      <c r="C91" s="10" t="str">
        <f>TEXT(Table2[[#This Row],[Date]],"mmm-yyyy")</f>
        <v>Apr-2024</v>
      </c>
      <c r="D91" s="7" t="s">
        <v>4</v>
      </c>
      <c r="E91" s="7" t="s">
        <v>27</v>
      </c>
      <c r="F91" s="7">
        <v>3</v>
      </c>
      <c r="G91" s="13">
        <v>47914</v>
      </c>
      <c r="H91" s="13">
        <v>21714</v>
      </c>
      <c r="I91" s="7" t="s">
        <v>17</v>
      </c>
      <c r="J91" s="14">
        <f t="shared" si="1"/>
        <v>143742</v>
      </c>
      <c r="K91" s="14">
        <f>Table2[[#This Row],[Revenue]]-Table2[[#This Row],[Expense]]</f>
        <v>122028</v>
      </c>
    </row>
    <row r="92" spans="1:11">
      <c r="A92" s="16" t="s">
        <v>115</v>
      </c>
      <c r="B92" s="10">
        <v>45394</v>
      </c>
      <c r="C92" s="10" t="str">
        <f>TEXT(Table2[[#This Row],[Date]],"mmm-yyyy")</f>
        <v>Apr-2024</v>
      </c>
      <c r="D92" s="7" t="s">
        <v>26</v>
      </c>
      <c r="E92" s="7" t="s">
        <v>27</v>
      </c>
      <c r="F92" s="7">
        <v>1</v>
      </c>
      <c r="G92" s="13">
        <v>43323</v>
      </c>
      <c r="H92" s="13">
        <v>25858</v>
      </c>
      <c r="I92" s="7" t="s">
        <v>30</v>
      </c>
      <c r="J92" s="14">
        <f t="shared" si="1"/>
        <v>43323</v>
      </c>
      <c r="K92" s="14">
        <f>Table2[[#This Row],[Revenue]]-Table2[[#This Row],[Expense]]</f>
        <v>17465</v>
      </c>
    </row>
    <row r="93" spans="1:11">
      <c r="A93" s="16" t="s">
        <v>116</v>
      </c>
      <c r="B93" s="10">
        <v>45395</v>
      </c>
      <c r="C93" s="10" t="str">
        <f>TEXT(Table2[[#This Row],[Date]],"mmm-yyyy")</f>
        <v>Apr-2024</v>
      </c>
      <c r="D93" s="7" t="s">
        <v>2</v>
      </c>
      <c r="E93" s="7" t="s">
        <v>32</v>
      </c>
      <c r="F93" s="7">
        <v>9</v>
      </c>
      <c r="G93" s="13">
        <v>20377</v>
      </c>
      <c r="H93" s="13">
        <v>47971</v>
      </c>
      <c r="I93" s="7" t="s">
        <v>30</v>
      </c>
      <c r="J93" s="14">
        <f t="shared" si="1"/>
        <v>183393</v>
      </c>
      <c r="K93" s="14">
        <f>Table2[[#This Row],[Revenue]]-Table2[[#This Row],[Expense]]</f>
        <v>135422</v>
      </c>
    </row>
    <row r="94" spans="1:11">
      <c r="A94" s="16" t="s">
        <v>117</v>
      </c>
      <c r="B94" s="10">
        <v>45397</v>
      </c>
      <c r="C94" s="10" t="str">
        <f>TEXT(Table2[[#This Row],[Date]],"mmm-yyyy")</f>
        <v>Apr-2024</v>
      </c>
      <c r="D94" s="7" t="s">
        <v>15</v>
      </c>
      <c r="E94" s="7" t="s">
        <v>22</v>
      </c>
      <c r="F94" s="7">
        <v>1</v>
      </c>
      <c r="G94" s="13">
        <v>50615</v>
      </c>
      <c r="H94" s="13">
        <v>39659</v>
      </c>
      <c r="I94" s="7" t="s">
        <v>36</v>
      </c>
      <c r="J94" s="14">
        <f t="shared" si="1"/>
        <v>50615</v>
      </c>
      <c r="K94" s="14">
        <f>Table2[[#This Row],[Revenue]]-Table2[[#This Row],[Expense]]</f>
        <v>10956</v>
      </c>
    </row>
    <row r="95" spans="1:11">
      <c r="A95" s="16" t="s">
        <v>118</v>
      </c>
      <c r="B95" s="10">
        <v>45398</v>
      </c>
      <c r="C95" s="10" t="str">
        <f>TEXT(Table2[[#This Row],[Date]],"mmm-yyyy")</f>
        <v>Apr-2024</v>
      </c>
      <c r="D95" s="7" t="s">
        <v>4</v>
      </c>
      <c r="E95" s="7" t="s">
        <v>32</v>
      </c>
      <c r="F95" s="7">
        <v>6</v>
      </c>
      <c r="G95" s="13">
        <v>24589</v>
      </c>
      <c r="H95" s="13">
        <v>49908</v>
      </c>
      <c r="I95" s="7" t="s">
        <v>30</v>
      </c>
      <c r="J95" s="14">
        <f t="shared" si="1"/>
        <v>147534</v>
      </c>
      <c r="K95" s="14">
        <f>Table2[[#This Row],[Revenue]]-Table2[[#This Row],[Expense]]</f>
        <v>97626</v>
      </c>
    </row>
    <row r="96" spans="1:11">
      <c r="A96" s="16" t="s">
        <v>119</v>
      </c>
      <c r="B96" s="10">
        <v>45399</v>
      </c>
      <c r="C96" s="10" t="str">
        <f>TEXT(Table2[[#This Row],[Date]],"mmm-yyyy")</f>
        <v>Apr-2024</v>
      </c>
      <c r="D96" s="7" t="s">
        <v>15</v>
      </c>
      <c r="E96" s="7" t="s">
        <v>24</v>
      </c>
      <c r="F96" s="7">
        <v>2</v>
      </c>
      <c r="G96" s="13">
        <v>29801</v>
      </c>
      <c r="H96" s="13">
        <v>10833</v>
      </c>
      <c r="I96" s="7" t="s">
        <v>36</v>
      </c>
      <c r="J96" s="14">
        <f t="shared" si="1"/>
        <v>59602</v>
      </c>
      <c r="K96" s="14">
        <f>Table2[[#This Row],[Revenue]]-Table2[[#This Row],[Expense]]</f>
        <v>48769</v>
      </c>
    </row>
    <row r="97" spans="1:11">
      <c r="A97" s="16" t="s">
        <v>120</v>
      </c>
      <c r="B97" s="10">
        <v>45403</v>
      </c>
      <c r="C97" s="10" t="str">
        <f>TEXT(Table2[[#This Row],[Date]],"mmm-yyyy")</f>
        <v>Apr-2024</v>
      </c>
      <c r="D97" s="7" t="s">
        <v>1</v>
      </c>
      <c r="E97" s="7" t="s">
        <v>16</v>
      </c>
      <c r="F97" s="7">
        <v>4</v>
      </c>
      <c r="G97" s="13">
        <v>7048</v>
      </c>
      <c r="H97" s="13">
        <v>22800</v>
      </c>
      <c r="I97" s="7" t="s">
        <v>36</v>
      </c>
      <c r="J97" s="14">
        <f t="shared" si="1"/>
        <v>28192</v>
      </c>
      <c r="K97" s="14">
        <f>Table2[[#This Row],[Revenue]]-Table2[[#This Row],[Expense]]</f>
        <v>5392</v>
      </c>
    </row>
    <row r="98" spans="1:11">
      <c r="A98" s="16" t="s">
        <v>121</v>
      </c>
      <c r="B98" s="10">
        <v>45403</v>
      </c>
      <c r="C98" s="10" t="str">
        <f>TEXT(Table2[[#This Row],[Date]],"mmm-yyyy")</f>
        <v>Apr-2024</v>
      </c>
      <c r="D98" s="7" t="s">
        <v>15</v>
      </c>
      <c r="E98" s="7" t="s">
        <v>27</v>
      </c>
      <c r="F98" s="7">
        <v>4</v>
      </c>
      <c r="G98" s="13">
        <v>31411</v>
      </c>
      <c r="H98" s="13">
        <v>3307</v>
      </c>
      <c r="I98" s="7" t="s">
        <v>17</v>
      </c>
      <c r="J98" s="14">
        <f t="shared" si="1"/>
        <v>125644</v>
      </c>
      <c r="K98" s="14">
        <f>Table2[[#This Row],[Revenue]]-Table2[[#This Row],[Expense]]</f>
        <v>122337</v>
      </c>
    </row>
    <row r="99" spans="1:11">
      <c r="A99" s="16" t="s">
        <v>122</v>
      </c>
      <c r="B99" s="10">
        <v>45404</v>
      </c>
      <c r="C99" s="10" t="str">
        <f>TEXT(Table2[[#This Row],[Date]],"mmm-yyyy")</f>
        <v>Apr-2024</v>
      </c>
      <c r="D99" s="7" t="s">
        <v>2</v>
      </c>
      <c r="E99" s="7" t="s">
        <v>32</v>
      </c>
      <c r="F99" s="7">
        <v>8</v>
      </c>
      <c r="G99" s="13">
        <v>74300</v>
      </c>
      <c r="H99" s="13">
        <v>17376</v>
      </c>
      <c r="I99" s="7" t="s">
        <v>17</v>
      </c>
      <c r="J99" s="14">
        <f t="shared" si="1"/>
        <v>594400</v>
      </c>
      <c r="K99" s="14">
        <f>Table2[[#This Row],[Revenue]]-Table2[[#This Row],[Expense]]</f>
        <v>577024</v>
      </c>
    </row>
    <row r="100" spans="1:11">
      <c r="A100" s="16" t="s">
        <v>123</v>
      </c>
      <c r="B100" s="10">
        <v>45404</v>
      </c>
      <c r="C100" s="10" t="str">
        <f>TEXT(Table2[[#This Row],[Date]],"mmm-yyyy")</f>
        <v>Apr-2024</v>
      </c>
      <c r="D100" s="7" t="s">
        <v>2</v>
      </c>
      <c r="E100" s="7" t="s">
        <v>24</v>
      </c>
      <c r="F100" s="7">
        <v>5</v>
      </c>
      <c r="G100" s="13">
        <v>49395</v>
      </c>
      <c r="H100" s="13">
        <v>16352</v>
      </c>
      <c r="I100" s="7" t="s">
        <v>19</v>
      </c>
      <c r="J100" s="14">
        <f t="shared" si="1"/>
        <v>246975</v>
      </c>
      <c r="K100" s="14">
        <f>Table2[[#This Row],[Revenue]]-Table2[[#This Row],[Expense]]</f>
        <v>230623</v>
      </c>
    </row>
    <row r="101" spans="1:11">
      <c r="A101" s="16" t="s">
        <v>124</v>
      </c>
      <c r="B101" s="10">
        <v>45404</v>
      </c>
      <c r="C101" s="10" t="str">
        <f>TEXT(Table2[[#This Row],[Date]],"mmm-yyyy")</f>
        <v>Apr-2024</v>
      </c>
      <c r="D101" s="7" t="s">
        <v>26</v>
      </c>
      <c r="E101" s="7" t="s">
        <v>32</v>
      </c>
      <c r="F101" s="7">
        <v>3</v>
      </c>
      <c r="G101" s="13">
        <v>75020</v>
      </c>
      <c r="H101" s="13">
        <v>20446</v>
      </c>
      <c r="I101" s="7" t="s">
        <v>30</v>
      </c>
      <c r="J101" s="14">
        <f t="shared" si="1"/>
        <v>225060</v>
      </c>
      <c r="K101" s="14">
        <f>Table2[[#This Row],[Revenue]]-Table2[[#This Row],[Expense]]</f>
        <v>204614</v>
      </c>
    </row>
    <row r="102" spans="1:11">
      <c r="A102" s="16" t="s">
        <v>125</v>
      </c>
      <c r="B102" s="10">
        <v>45404</v>
      </c>
      <c r="C102" s="10" t="str">
        <f>TEXT(Table2[[#This Row],[Date]],"mmm-yyyy")</f>
        <v>Apr-2024</v>
      </c>
      <c r="D102" s="7" t="s">
        <v>1</v>
      </c>
      <c r="E102" s="7" t="s">
        <v>24</v>
      </c>
      <c r="F102" s="7">
        <v>1</v>
      </c>
      <c r="G102" s="13">
        <v>74322</v>
      </c>
      <c r="H102" s="13">
        <v>34340</v>
      </c>
      <c r="I102" s="7" t="s">
        <v>17</v>
      </c>
      <c r="J102" s="14">
        <f t="shared" si="1"/>
        <v>74322</v>
      </c>
      <c r="K102" s="14">
        <f>Table2[[#This Row],[Revenue]]-Table2[[#This Row],[Expense]]</f>
        <v>39982</v>
      </c>
    </row>
    <row r="103" spans="1:11">
      <c r="A103" s="16" t="s">
        <v>126</v>
      </c>
      <c r="B103" s="10">
        <v>45404</v>
      </c>
      <c r="C103" s="10" t="str">
        <f>TEXT(Table2[[#This Row],[Date]],"mmm-yyyy")</f>
        <v>Apr-2024</v>
      </c>
      <c r="D103" s="7" t="s">
        <v>4</v>
      </c>
      <c r="E103" s="7" t="s">
        <v>22</v>
      </c>
      <c r="F103" s="7">
        <v>8</v>
      </c>
      <c r="G103" s="13">
        <v>14556</v>
      </c>
      <c r="H103" s="13">
        <v>44936</v>
      </c>
      <c r="I103" s="7" t="s">
        <v>30</v>
      </c>
      <c r="J103" s="14">
        <f t="shared" si="1"/>
        <v>116448</v>
      </c>
      <c r="K103" s="14">
        <f>Table2[[#This Row],[Revenue]]-Table2[[#This Row],[Expense]]</f>
        <v>71512</v>
      </c>
    </row>
    <row r="104" spans="1:11">
      <c r="A104" s="16" t="s">
        <v>127</v>
      </c>
      <c r="B104" s="10">
        <v>45405</v>
      </c>
      <c r="C104" s="10" t="str">
        <f>TEXT(Table2[[#This Row],[Date]],"mmm-yyyy")</f>
        <v>Apr-2024</v>
      </c>
      <c r="D104" s="7" t="s">
        <v>4</v>
      </c>
      <c r="E104" s="7" t="s">
        <v>24</v>
      </c>
      <c r="F104" s="7">
        <v>6</v>
      </c>
      <c r="G104" s="13">
        <v>16497</v>
      </c>
      <c r="H104" s="13">
        <v>49781</v>
      </c>
      <c r="I104" s="7" t="s">
        <v>19</v>
      </c>
      <c r="J104" s="14">
        <f t="shared" si="1"/>
        <v>98982</v>
      </c>
      <c r="K104" s="14">
        <f>Table2[[#This Row],[Revenue]]-Table2[[#This Row],[Expense]]</f>
        <v>49201</v>
      </c>
    </row>
    <row r="105" spans="1:11">
      <c r="A105" s="16" t="s">
        <v>128</v>
      </c>
      <c r="B105" s="10">
        <v>45407</v>
      </c>
      <c r="C105" s="10" t="str">
        <f>TEXT(Table2[[#This Row],[Date]],"mmm-yyyy")</f>
        <v>Apr-2024</v>
      </c>
      <c r="D105" s="7" t="s">
        <v>1</v>
      </c>
      <c r="E105" s="7" t="s">
        <v>27</v>
      </c>
      <c r="F105" s="7">
        <v>7</v>
      </c>
      <c r="G105" s="13">
        <v>55614</v>
      </c>
      <c r="H105" s="13">
        <v>32358</v>
      </c>
      <c r="I105" s="7" t="s">
        <v>19</v>
      </c>
      <c r="J105" s="14">
        <f t="shared" si="1"/>
        <v>389298</v>
      </c>
      <c r="K105" s="14">
        <f>Table2[[#This Row],[Revenue]]-Table2[[#This Row],[Expense]]</f>
        <v>356940</v>
      </c>
    </row>
    <row r="106" spans="1:11">
      <c r="A106" s="16" t="s">
        <v>129</v>
      </c>
      <c r="B106" s="10">
        <v>45407</v>
      </c>
      <c r="C106" s="10" t="str">
        <f>TEXT(Table2[[#This Row],[Date]],"mmm-yyyy")</f>
        <v>Apr-2024</v>
      </c>
      <c r="D106" s="7" t="s">
        <v>15</v>
      </c>
      <c r="E106" s="7" t="s">
        <v>24</v>
      </c>
      <c r="F106" s="7">
        <v>4</v>
      </c>
      <c r="G106" s="13">
        <v>21723</v>
      </c>
      <c r="H106" s="13">
        <v>5135</v>
      </c>
      <c r="I106" s="7" t="s">
        <v>36</v>
      </c>
      <c r="J106" s="14">
        <f t="shared" si="1"/>
        <v>86892</v>
      </c>
      <c r="K106" s="14">
        <f>Table2[[#This Row],[Revenue]]-Table2[[#This Row],[Expense]]</f>
        <v>81757</v>
      </c>
    </row>
    <row r="107" spans="1:11">
      <c r="A107" s="16" t="s">
        <v>130</v>
      </c>
      <c r="B107" s="10">
        <v>45407</v>
      </c>
      <c r="C107" s="10" t="str">
        <f>TEXT(Table2[[#This Row],[Date]],"mmm-yyyy")</f>
        <v>Apr-2024</v>
      </c>
      <c r="D107" s="7" t="s">
        <v>3</v>
      </c>
      <c r="E107" s="7" t="s">
        <v>32</v>
      </c>
      <c r="F107" s="7">
        <v>2</v>
      </c>
      <c r="G107" s="13">
        <v>54593</v>
      </c>
      <c r="H107" s="13">
        <v>1155</v>
      </c>
      <c r="I107" s="7" t="s">
        <v>19</v>
      </c>
      <c r="J107" s="14">
        <f t="shared" si="1"/>
        <v>109186</v>
      </c>
      <c r="K107" s="14">
        <f>Table2[[#This Row],[Revenue]]-Table2[[#This Row],[Expense]]</f>
        <v>108031</v>
      </c>
    </row>
    <row r="108" spans="1:11">
      <c r="A108" s="16" t="s">
        <v>131</v>
      </c>
      <c r="B108" s="10">
        <v>45411</v>
      </c>
      <c r="C108" s="10" t="str">
        <f>TEXT(Table2[[#This Row],[Date]],"mmm-yyyy")</f>
        <v>Apr-2024</v>
      </c>
      <c r="D108" s="7" t="s">
        <v>4</v>
      </c>
      <c r="E108" s="7" t="s">
        <v>24</v>
      </c>
      <c r="F108" s="7">
        <v>8</v>
      </c>
      <c r="G108" s="13">
        <v>25621</v>
      </c>
      <c r="H108" s="13">
        <v>1282</v>
      </c>
      <c r="I108" s="7" t="s">
        <v>36</v>
      </c>
      <c r="J108" s="14">
        <f t="shared" si="1"/>
        <v>204968</v>
      </c>
      <c r="K108" s="14">
        <f>Table2[[#This Row],[Revenue]]-Table2[[#This Row],[Expense]]</f>
        <v>203686</v>
      </c>
    </row>
    <row r="109" spans="1:11">
      <c r="A109" s="16" t="s">
        <v>132</v>
      </c>
      <c r="B109" s="10">
        <v>45412</v>
      </c>
      <c r="C109" s="10" t="str">
        <f>TEXT(Table2[[#This Row],[Date]],"mmm-yyyy")</f>
        <v>Apr-2024</v>
      </c>
      <c r="D109" s="7" t="s">
        <v>2</v>
      </c>
      <c r="E109" s="7" t="s">
        <v>22</v>
      </c>
      <c r="F109" s="7">
        <v>7</v>
      </c>
      <c r="G109" s="13">
        <v>48364</v>
      </c>
      <c r="H109" s="13">
        <v>33262</v>
      </c>
      <c r="I109" s="7" t="s">
        <v>19</v>
      </c>
      <c r="J109" s="14">
        <f t="shared" si="1"/>
        <v>338548</v>
      </c>
      <c r="K109" s="14">
        <f>Table2[[#This Row],[Revenue]]-Table2[[#This Row],[Expense]]</f>
        <v>305286</v>
      </c>
    </row>
    <row r="110" spans="1:11">
      <c r="A110" s="16" t="s">
        <v>133</v>
      </c>
      <c r="B110" s="10">
        <v>45413</v>
      </c>
      <c r="C110" s="10" t="str">
        <f>TEXT(Table2[[#This Row],[Date]],"mmm-yyyy")</f>
        <v>May-2024</v>
      </c>
      <c r="D110" s="7" t="s">
        <v>3</v>
      </c>
      <c r="E110" s="7" t="s">
        <v>27</v>
      </c>
      <c r="F110" s="7">
        <v>1</v>
      </c>
      <c r="G110" s="13">
        <v>37708</v>
      </c>
      <c r="H110" s="13">
        <v>49689</v>
      </c>
      <c r="I110" s="7" t="s">
        <v>30</v>
      </c>
      <c r="J110" s="14">
        <f t="shared" si="1"/>
        <v>37708</v>
      </c>
      <c r="K110" s="14">
        <f>Table2[[#This Row],[Revenue]]-Table2[[#This Row],[Expense]]</f>
        <v>-11981</v>
      </c>
    </row>
    <row r="111" spans="1:11">
      <c r="A111" s="16" t="s">
        <v>134</v>
      </c>
      <c r="B111" s="10">
        <v>45414</v>
      </c>
      <c r="C111" s="10" t="str">
        <f>TEXT(Table2[[#This Row],[Date]],"mmm-yyyy")</f>
        <v>May-2024</v>
      </c>
      <c r="D111" s="7" t="s">
        <v>1</v>
      </c>
      <c r="E111" s="7" t="s">
        <v>27</v>
      </c>
      <c r="F111" s="7">
        <v>6</v>
      </c>
      <c r="G111" s="13">
        <v>28679</v>
      </c>
      <c r="H111" s="13">
        <v>4750</v>
      </c>
      <c r="I111" s="7" t="s">
        <v>17</v>
      </c>
      <c r="J111" s="14">
        <f t="shared" si="1"/>
        <v>172074</v>
      </c>
      <c r="K111" s="14">
        <f>Table2[[#This Row],[Revenue]]-Table2[[#This Row],[Expense]]</f>
        <v>167324</v>
      </c>
    </row>
    <row r="112" spans="1:11">
      <c r="A112" s="16" t="s">
        <v>135</v>
      </c>
      <c r="B112" s="10">
        <v>45415</v>
      </c>
      <c r="C112" s="10" t="str">
        <f>TEXT(Table2[[#This Row],[Date]],"mmm-yyyy")</f>
        <v>May-2024</v>
      </c>
      <c r="D112" s="7" t="s">
        <v>2</v>
      </c>
      <c r="E112" s="7" t="s">
        <v>32</v>
      </c>
      <c r="F112" s="7">
        <v>1</v>
      </c>
      <c r="G112" s="13">
        <v>46832</v>
      </c>
      <c r="H112" s="13">
        <v>10369</v>
      </c>
      <c r="I112" s="7" t="s">
        <v>36</v>
      </c>
      <c r="J112" s="14">
        <f t="shared" si="1"/>
        <v>46832</v>
      </c>
      <c r="K112" s="14">
        <f>Table2[[#This Row],[Revenue]]-Table2[[#This Row],[Expense]]</f>
        <v>36463</v>
      </c>
    </row>
    <row r="113" spans="1:11">
      <c r="A113" s="16" t="s">
        <v>136</v>
      </c>
      <c r="B113" s="10">
        <v>45417</v>
      </c>
      <c r="C113" s="10" t="str">
        <f>TEXT(Table2[[#This Row],[Date]],"mmm-yyyy")</f>
        <v>May-2024</v>
      </c>
      <c r="D113" s="7" t="s">
        <v>3</v>
      </c>
      <c r="E113" s="7" t="s">
        <v>32</v>
      </c>
      <c r="F113" s="7">
        <v>8</v>
      </c>
      <c r="G113" s="13">
        <v>50700</v>
      </c>
      <c r="H113" s="13">
        <v>44617</v>
      </c>
      <c r="I113" s="7" t="s">
        <v>17</v>
      </c>
      <c r="J113" s="14">
        <f t="shared" si="1"/>
        <v>405600</v>
      </c>
      <c r="K113" s="14">
        <f>Table2[[#This Row],[Revenue]]-Table2[[#This Row],[Expense]]</f>
        <v>360983</v>
      </c>
    </row>
    <row r="114" spans="1:11">
      <c r="A114" s="16" t="s">
        <v>137</v>
      </c>
      <c r="B114" s="10">
        <v>45419</v>
      </c>
      <c r="C114" s="10" t="str">
        <f>TEXT(Table2[[#This Row],[Date]],"mmm-yyyy")</f>
        <v>May-2024</v>
      </c>
      <c r="D114" s="7" t="s">
        <v>1</v>
      </c>
      <c r="E114" s="7" t="s">
        <v>24</v>
      </c>
      <c r="F114" s="7">
        <v>1</v>
      </c>
      <c r="G114" s="13">
        <v>5395</v>
      </c>
      <c r="H114" s="13">
        <v>31314</v>
      </c>
      <c r="I114" s="7" t="s">
        <v>36</v>
      </c>
      <c r="J114" s="14">
        <f t="shared" si="1"/>
        <v>5395</v>
      </c>
      <c r="K114" s="14">
        <f>Table2[[#This Row],[Revenue]]-Table2[[#This Row],[Expense]]</f>
        <v>-25919</v>
      </c>
    </row>
    <row r="115" spans="1:11">
      <c r="A115" s="16" t="s">
        <v>138</v>
      </c>
      <c r="B115" s="10">
        <v>45419</v>
      </c>
      <c r="C115" s="10" t="str">
        <f>TEXT(Table2[[#This Row],[Date]],"mmm-yyyy")</f>
        <v>May-2024</v>
      </c>
      <c r="D115" s="7" t="s">
        <v>3</v>
      </c>
      <c r="E115" s="7" t="s">
        <v>22</v>
      </c>
      <c r="F115" s="7">
        <v>2</v>
      </c>
      <c r="G115" s="13">
        <v>69328</v>
      </c>
      <c r="H115" s="13">
        <v>14565</v>
      </c>
      <c r="I115" s="7" t="s">
        <v>36</v>
      </c>
      <c r="J115" s="14">
        <f t="shared" si="1"/>
        <v>138656</v>
      </c>
      <c r="K115" s="14">
        <f>Table2[[#This Row],[Revenue]]-Table2[[#This Row],[Expense]]</f>
        <v>124091</v>
      </c>
    </row>
    <row r="116" spans="1:11">
      <c r="A116" s="16" t="s">
        <v>139</v>
      </c>
      <c r="B116" s="10">
        <v>45419</v>
      </c>
      <c r="C116" s="10" t="str">
        <f>TEXT(Table2[[#This Row],[Date]],"mmm-yyyy")</f>
        <v>May-2024</v>
      </c>
      <c r="D116" s="7" t="s">
        <v>2</v>
      </c>
      <c r="E116" s="7" t="s">
        <v>22</v>
      </c>
      <c r="F116" s="7">
        <v>4</v>
      </c>
      <c r="G116" s="13">
        <v>36724</v>
      </c>
      <c r="H116" s="13">
        <v>16036</v>
      </c>
      <c r="I116" s="7" t="s">
        <v>17</v>
      </c>
      <c r="J116" s="14">
        <f t="shared" si="1"/>
        <v>146896</v>
      </c>
      <c r="K116" s="14">
        <f>Table2[[#This Row],[Revenue]]-Table2[[#This Row],[Expense]]</f>
        <v>130860</v>
      </c>
    </row>
    <row r="117" spans="1:11">
      <c r="A117" s="16" t="s">
        <v>140</v>
      </c>
      <c r="B117" s="10">
        <v>45419</v>
      </c>
      <c r="C117" s="10" t="str">
        <f>TEXT(Table2[[#This Row],[Date]],"mmm-yyyy")</f>
        <v>May-2024</v>
      </c>
      <c r="D117" s="7" t="s">
        <v>1</v>
      </c>
      <c r="E117" s="7" t="s">
        <v>27</v>
      </c>
      <c r="F117" s="7">
        <v>4</v>
      </c>
      <c r="G117" s="13">
        <v>65446</v>
      </c>
      <c r="H117" s="13">
        <v>26215</v>
      </c>
      <c r="I117" s="7" t="s">
        <v>36</v>
      </c>
      <c r="J117" s="14">
        <f t="shared" si="1"/>
        <v>261784</v>
      </c>
      <c r="K117" s="14">
        <f>Table2[[#This Row],[Revenue]]-Table2[[#This Row],[Expense]]</f>
        <v>235569</v>
      </c>
    </row>
    <row r="118" spans="1:11">
      <c r="A118" s="16" t="s">
        <v>141</v>
      </c>
      <c r="B118" s="10">
        <v>45420</v>
      </c>
      <c r="C118" s="10" t="str">
        <f>TEXT(Table2[[#This Row],[Date]],"mmm-yyyy")</f>
        <v>May-2024</v>
      </c>
      <c r="D118" s="7" t="s">
        <v>2</v>
      </c>
      <c r="E118" s="7" t="s">
        <v>32</v>
      </c>
      <c r="F118" s="7">
        <v>3</v>
      </c>
      <c r="G118" s="13">
        <v>36951</v>
      </c>
      <c r="H118" s="13">
        <v>2651</v>
      </c>
      <c r="I118" s="7" t="s">
        <v>17</v>
      </c>
      <c r="J118" s="14">
        <f t="shared" si="1"/>
        <v>110853</v>
      </c>
      <c r="K118" s="14">
        <f>Table2[[#This Row],[Revenue]]-Table2[[#This Row],[Expense]]</f>
        <v>108202</v>
      </c>
    </row>
    <row r="119" spans="1:11">
      <c r="A119" s="16" t="s">
        <v>142</v>
      </c>
      <c r="B119" s="10">
        <v>45420</v>
      </c>
      <c r="C119" s="10" t="str">
        <f>TEXT(Table2[[#This Row],[Date]],"mmm-yyyy")</f>
        <v>May-2024</v>
      </c>
      <c r="D119" s="7" t="s">
        <v>3</v>
      </c>
      <c r="E119" s="7" t="s">
        <v>27</v>
      </c>
      <c r="F119" s="7">
        <v>4</v>
      </c>
      <c r="G119" s="13">
        <v>42968</v>
      </c>
      <c r="H119" s="13">
        <v>24648</v>
      </c>
      <c r="I119" s="7" t="s">
        <v>17</v>
      </c>
      <c r="J119" s="14">
        <f t="shared" si="1"/>
        <v>171872</v>
      </c>
      <c r="K119" s="14">
        <f>Table2[[#This Row],[Revenue]]-Table2[[#This Row],[Expense]]</f>
        <v>147224</v>
      </c>
    </row>
    <row r="120" spans="1:11">
      <c r="A120" s="16" t="s">
        <v>143</v>
      </c>
      <c r="B120" s="10">
        <v>45421</v>
      </c>
      <c r="C120" s="10" t="str">
        <f>TEXT(Table2[[#This Row],[Date]],"mmm-yyyy")</f>
        <v>May-2024</v>
      </c>
      <c r="D120" s="7" t="s">
        <v>15</v>
      </c>
      <c r="E120" s="7" t="s">
        <v>24</v>
      </c>
      <c r="F120" s="7">
        <v>4</v>
      </c>
      <c r="G120" s="13">
        <v>32052</v>
      </c>
      <c r="H120" s="13">
        <v>7171</v>
      </c>
      <c r="I120" s="7" t="s">
        <v>30</v>
      </c>
      <c r="J120" s="14">
        <f t="shared" si="1"/>
        <v>128208</v>
      </c>
      <c r="K120" s="14">
        <f>Table2[[#This Row],[Revenue]]-Table2[[#This Row],[Expense]]</f>
        <v>121037</v>
      </c>
    </row>
    <row r="121" spans="1:11">
      <c r="A121" s="16" t="s">
        <v>144</v>
      </c>
      <c r="B121" s="10">
        <v>45421</v>
      </c>
      <c r="C121" s="10" t="str">
        <f>TEXT(Table2[[#This Row],[Date]],"mmm-yyyy")</f>
        <v>May-2024</v>
      </c>
      <c r="D121" s="7" t="s">
        <v>26</v>
      </c>
      <c r="E121" s="7" t="s">
        <v>16</v>
      </c>
      <c r="F121" s="7">
        <v>8</v>
      </c>
      <c r="G121" s="13">
        <v>71808</v>
      </c>
      <c r="H121" s="13">
        <v>4648</v>
      </c>
      <c r="I121" s="7" t="s">
        <v>36</v>
      </c>
      <c r="J121" s="14">
        <f t="shared" si="1"/>
        <v>574464</v>
      </c>
      <c r="K121" s="14">
        <f>Table2[[#This Row],[Revenue]]-Table2[[#This Row],[Expense]]</f>
        <v>569816</v>
      </c>
    </row>
    <row r="122" spans="1:11">
      <c r="A122" s="16" t="s">
        <v>145</v>
      </c>
      <c r="B122" s="10">
        <v>45422</v>
      </c>
      <c r="C122" s="10" t="str">
        <f>TEXT(Table2[[#This Row],[Date]],"mmm-yyyy")</f>
        <v>May-2024</v>
      </c>
      <c r="D122" s="7" t="s">
        <v>15</v>
      </c>
      <c r="E122" s="7" t="s">
        <v>32</v>
      </c>
      <c r="F122" s="7">
        <v>5</v>
      </c>
      <c r="G122" s="13">
        <v>8625</v>
      </c>
      <c r="H122" s="13">
        <v>2724</v>
      </c>
      <c r="I122" s="7" t="s">
        <v>17</v>
      </c>
      <c r="J122" s="14">
        <f t="shared" si="1"/>
        <v>43125</v>
      </c>
      <c r="K122" s="14">
        <f>Table2[[#This Row],[Revenue]]-Table2[[#This Row],[Expense]]</f>
        <v>40401</v>
      </c>
    </row>
    <row r="123" spans="1:11">
      <c r="A123" s="16" t="s">
        <v>146</v>
      </c>
      <c r="B123" s="10">
        <v>45422</v>
      </c>
      <c r="C123" s="10" t="str">
        <f>TEXT(Table2[[#This Row],[Date]],"mmm-yyyy")</f>
        <v>May-2024</v>
      </c>
      <c r="D123" s="7" t="s">
        <v>1</v>
      </c>
      <c r="E123" s="7" t="s">
        <v>27</v>
      </c>
      <c r="F123" s="7">
        <v>7</v>
      </c>
      <c r="G123" s="13">
        <v>23112</v>
      </c>
      <c r="H123" s="13">
        <v>38900</v>
      </c>
      <c r="I123" s="7" t="s">
        <v>30</v>
      </c>
      <c r="J123" s="14">
        <f t="shared" si="1"/>
        <v>161784</v>
      </c>
      <c r="K123" s="14">
        <f>Table2[[#This Row],[Revenue]]-Table2[[#This Row],[Expense]]</f>
        <v>122884</v>
      </c>
    </row>
    <row r="124" spans="1:11">
      <c r="A124" s="16" t="s">
        <v>147</v>
      </c>
      <c r="B124" s="10">
        <v>45422</v>
      </c>
      <c r="C124" s="10" t="str">
        <f>TEXT(Table2[[#This Row],[Date]],"mmm-yyyy")</f>
        <v>May-2024</v>
      </c>
      <c r="D124" s="7" t="s">
        <v>4</v>
      </c>
      <c r="E124" s="7" t="s">
        <v>27</v>
      </c>
      <c r="F124" s="7">
        <v>8</v>
      </c>
      <c r="G124" s="13">
        <v>54753</v>
      </c>
      <c r="H124" s="13">
        <v>17370</v>
      </c>
      <c r="I124" s="7" t="s">
        <v>30</v>
      </c>
      <c r="J124" s="14">
        <f t="shared" si="1"/>
        <v>438024</v>
      </c>
      <c r="K124" s="14">
        <f>Table2[[#This Row],[Revenue]]-Table2[[#This Row],[Expense]]</f>
        <v>420654</v>
      </c>
    </row>
    <row r="125" spans="1:11">
      <c r="A125" s="16" t="s">
        <v>148</v>
      </c>
      <c r="B125" s="10">
        <v>45422</v>
      </c>
      <c r="C125" s="10" t="str">
        <f>TEXT(Table2[[#This Row],[Date]],"mmm-yyyy")</f>
        <v>May-2024</v>
      </c>
      <c r="D125" s="7" t="s">
        <v>3</v>
      </c>
      <c r="E125" s="7" t="s">
        <v>22</v>
      </c>
      <c r="F125" s="7">
        <v>1</v>
      </c>
      <c r="G125" s="13">
        <v>5298</v>
      </c>
      <c r="H125" s="13">
        <v>38711</v>
      </c>
      <c r="I125" s="7" t="s">
        <v>19</v>
      </c>
      <c r="J125" s="14">
        <f t="shared" si="1"/>
        <v>5298</v>
      </c>
      <c r="K125" s="14">
        <f>Table2[[#This Row],[Revenue]]-Table2[[#This Row],[Expense]]</f>
        <v>-33413</v>
      </c>
    </row>
    <row r="126" spans="1:11">
      <c r="A126" s="16" t="s">
        <v>149</v>
      </c>
      <c r="B126" s="10">
        <v>45425</v>
      </c>
      <c r="C126" s="10" t="str">
        <f>TEXT(Table2[[#This Row],[Date]],"mmm-yyyy")</f>
        <v>May-2024</v>
      </c>
      <c r="D126" s="7" t="s">
        <v>1</v>
      </c>
      <c r="E126" s="7" t="s">
        <v>27</v>
      </c>
      <c r="F126" s="7">
        <v>1</v>
      </c>
      <c r="G126" s="13">
        <v>73482</v>
      </c>
      <c r="H126" s="13">
        <v>33591</v>
      </c>
      <c r="I126" s="7" t="s">
        <v>17</v>
      </c>
      <c r="J126" s="14">
        <f t="shared" si="1"/>
        <v>73482</v>
      </c>
      <c r="K126" s="14">
        <f>Table2[[#This Row],[Revenue]]-Table2[[#This Row],[Expense]]</f>
        <v>39891</v>
      </c>
    </row>
    <row r="127" spans="1:11">
      <c r="A127" s="16" t="s">
        <v>150</v>
      </c>
      <c r="B127" s="10">
        <v>45426</v>
      </c>
      <c r="C127" s="10" t="str">
        <f>TEXT(Table2[[#This Row],[Date]],"mmm-yyyy")</f>
        <v>May-2024</v>
      </c>
      <c r="D127" s="7" t="s">
        <v>1</v>
      </c>
      <c r="E127" s="7" t="s">
        <v>22</v>
      </c>
      <c r="F127" s="7">
        <v>4</v>
      </c>
      <c r="G127" s="13">
        <v>31848</v>
      </c>
      <c r="H127" s="13">
        <v>44241</v>
      </c>
      <c r="I127" s="7" t="s">
        <v>30</v>
      </c>
      <c r="J127" s="14">
        <f t="shared" si="1"/>
        <v>127392</v>
      </c>
      <c r="K127" s="14">
        <f>Table2[[#This Row],[Revenue]]-Table2[[#This Row],[Expense]]</f>
        <v>83151</v>
      </c>
    </row>
    <row r="128" spans="1:11">
      <c r="A128" s="16" t="s">
        <v>151</v>
      </c>
      <c r="B128" s="10">
        <v>45426</v>
      </c>
      <c r="C128" s="10" t="str">
        <f>TEXT(Table2[[#This Row],[Date]],"mmm-yyyy")</f>
        <v>May-2024</v>
      </c>
      <c r="D128" s="7" t="s">
        <v>26</v>
      </c>
      <c r="E128" s="7" t="s">
        <v>16</v>
      </c>
      <c r="F128" s="7">
        <v>9</v>
      </c>
      <c r="G128" s="13">
        <v>24211</v>
      </c>
      <c r="H128" s="13">
        <v>49998</v>
      </c>
      <c r="I128" s="7" t="s">
        <v>19</v>
      </c>
      <c r="J128" s="14">
        <f t="shared" si="1"/>
        <v>217899</v>
      </c>
      <c r="K128" s="14">
        <f>Table2[[#This Row],[Revenue]]-Table2[[#This Row],[Expense]]</f>
        <v>167901</v>
      </c>
    </row>
    <row r="129" spans="1:11">
      <c r="A129" s="16" t="s">
        <v>152</v>
      </c>
      <c r="B129" s="10">
        <v>45426</v>
      </c>
      <c r="C129" s="10" t="str">
        <f>TEXT(Table2[[#This Row],[Date]],"mmm-yyyy")</f>
        <v>May-2024</v>
      </c>
      <c r="D129" s="7" t="s">
        <v>2</v>
      </c>
      <c r="E129" s="7" t="s">
        <v>27</v>
      </c>
      <c r="F129" s="7">
        <v>8</v>
      </c>
      <c r="G129" s="13">
        <v>70976</v>
      </c>
      <c r="H129" s="13">
        <v>25217</v>
      </c>
      <c r="I129" s="7" t="s">
        <v>30</v>
      </c>
      <c r="J129" s="14">
        <f t="shared" si="1"/>
        <v>567808</v>
      </c>
      <c r="K129" s="14">
        <f>Table2[[#This Row],[Revenue]]-Table2[[#This Row],[Expense]]</f>
        <v>542591</v>
      </c>
    </row>
    <row r="130" spans="1:11">
      <c r="A130" s="16" t="s">
        <v>153</v>
      </c>
      <c r="B130" s="10">
        <v>45427</v>
      </c>
      <c r="C130" s="10" t="str">
        <f>TEXT(Table2[[#This Row],[Date]],"mmm-yyyy")</f>
        <v>May-2024</v>
      </c>
      <c r="D130" s="7" t="s">
        <v>4</v>
      </c>
      <c r="E130" s="7" t="s">
        <v>27</v>
      </c>
      <c r="F130" s="7">
        <v>6</v>
      </c>
      <c r="G130" s="13">
        <v>32410</v>
      </c>
      <c r="H130" s="13">
        <v>26051</v>
      </c>
      <c r="I130" s="7" t="s">
        <v>30</v>
      </c>
      <c r="J130" s="14">
        <f t="shared" ref="J130:J193" si="2">G130*F130</f>
        <v>194460</v>
      </c>
      <c r="K130" s="14">
        <f>Table2[[#This Row],[Revenue]]-Table2[[#This Row],[Expense]]</f>
        <v>168409</v>
      </c>
    </row>
    <row r="131" spans="1:11">
      <c r="A131" s="16" t="s">
        <v>154</v>
      </c>
      <c r="B131" s="10">
        <v>45428</v>
      </c>
      <c r="C131" s="10" t="str">
        <f>TEXT(Table2[[#This Row],[Date]],"mmm-yyyy")</f>
        <v>May-2024</v>
      </c>
      <c r="D131" s="7" t="s">
        <v>4</v>
      </c>
      <c r="E131" s="7" t="s">
        <v>32</v>
      </c>
      <c r="F131" s="7">
        <v>5</v>
      </c>
      <c r="G131" s="13">
        <v>4937</v>
      </c>
      <c r="H131" s="13">
        <v>12929</v>
      </c>
      <c r="I131" s="7" t="s">
        <v>30</v>
      </c>
      <c r="J131" s="14">
        <f t="shared" si="2"/>
        <v>24685</v>
      </c>
      <c r="K131" s="14">
        <f>Table2[[#This Row],[Revenue]]-Table2[[#This Row],[Expense]]</f>
        <v>11756</v>
      </c>
    </row>
    <row r="132" spans="1:11">
      <c r="A132" s="16" t="s">
        <v>155</v>
      </c>
      <c r="B132" s="10">
        <v>45430</v>
      </c>
      <c r="C132" s="10" t="str">
        <f>TEXT(Table2[[#This Row],[Date]],"mmm-yyyy")</f>
        <v>May-2024</v>
      </c>
      <c r="D132" s="7" t="s">
        <v>26</v>
      </c>
      <c r="E132" s="7" t="s">
        <v>22</v>
      </c>
      <c r="F132" s="7">
        <v>9</v>
      </c>
      <c r="G132" s="13">
        <v>65981</v>
      </c>
      <c r="H132" s="13">
        <v>47026</v>
      </c>
      <c r="I132" s="7" t="s">
        <v>17</v>
      </c>
      <c r="J132" s="14">
        <f t="shared" si="2"/>
        <v>593829</v>
      </c>
      <c r="K132" s="14">
        <f>Table2[[#This Row],[Revenue]]-Table2[[#This Row],[Expense]]</f>
        <v>546803</v>
      </c>
    </row>
    <row r="133" spans="1:11">
      <c r="A133" s="16" t="s">
        <v>156</v>
      </c>
      <c r="B133" s="10">
        <v>45431</v>
      </c>
      <c r="C133" s="10" t="str">
        <f>TEXT(Table2[[#This Row],[Date]],"mmm-yyyy")</f>
        <v>May-2024</v>
      </c>
      <c r="D133" s="7" t="s">
        <v>3</v>
      </c>
      <c r="E133" s="7" t="s">
        <v>16</v>
      </c>
      <c r="F133" s="7">
        <v>2</v>
      </c>
      <c r="G133" s="13">
        <v>57032</v>
      </c>
      <c r="H133" s="13">
        <v>3285</v>
      </c>
      <c r="I133" s="7" t="s">
        <v>36</v>
      </c>
      <c r="J133" s="14">
        <f t="shared" si="2"/>
        <v>114064</v>
      </c>
      <c r="K133" s="14">
        <f>Table2[[#This Row],[Revenue]]-Table2[[#This Row],[Expense]]</f>
        <v>110779</v>
      </c>
    </row>
    <row r="134" spans="1:11">
      <c r="A134" s="16" t="s">
        <v>157</v>
      </c>
      <c r="B134" s="10">
        <v>45434</v>
      </c>
      <c r="C134" s="10" t="str">
        <f>TEXT(Table2[[#This Row],[Date]],"mmm-yyyy")</f>
        <v>May-2024</v>
      </c>
      <c r="D134" s="7" t="s">
        <v>15</v>
      </c>
      <c r="E134" s="7" t="s">
        <v>24</v>
      </c>
      <c r="F134" s="7">
        <v>6</v>
      </c>
      <c r="G134" s="13">
        <v>1161</v>
      </c>
      <c r="H134" s="13">
        <v>14975</v>
      </c>
      <c r="I134" s="7" t="s">
        <v>36</v>
      </c>
      <c r="J134" s="14">
        <f t="shared" si="2"/>
        <v>6966</v>
      </c>
      <c r="K134" s="14">
        <f>Table2[[#This Row],[Revenue]]-Table2[[#This Row],[Expense]]</f>
        <v>-8009</v>
      </c>
    </row>
    <row r="135" spans="1:11">
      <c r="A135" s="16" t="s">
        <v>158</v>
      </c>
      <c r="B135" s="10">
        <v>45435</v>
      </c>
      <c r="C135" s="10" t="str">
        <f>TEXT(Table2[[#This Row],[Date]],"mmm-yyyy")</f>
        <v>May-2024</v>
      </c>
      <c r="D135" s="7" t="s">
        <v>15</v>
      </c>
      <c r="E135" s="7" t="s">
        <v>24</v>
      </c>
      <c r="F135" s="7">
        <v>1</v>
      </c>
      <c r="G135" s="13">
        <v>43413</v>
      </c>
      <c r="H135" s="13">
        <v>44039</v>
      </c>
      <c r="I135" s="7" t="s">
        <v>30</v>
      </c>
      <c r="J135" s="14">
        <f t="shared" si="2"/>
        <v>43413</v>
      </c>
      <c r="K135" s="14">
        <f>Table2[[#This Row],[Revenue]]-Table2[[#This Row],[Expense]]</f>
        <v>-626</v>
      </c>
    </row>
    <row r="136" spans="1:11">
      <c r="A136" s="16" t="s">
        <v>159</v>
      </c>
      <c r="B136" s="10">
        <v>45435</v>
      </c>
      <c r="C136" s="10" t="str">
        <f>TEXT(Table2[[#This Row],[Date]],"mmm-yyyy")</f>
        <v>May-2024</v>
      </c>
      <c r="D136" s="7" t="s">
        <v>4</v>
      </c>
      <c r="E136" s="7" t="s">
        <v>24</v>
      </c>
      <c r="F136" s="7">
        <v>3</v>
      </c>
      <c r="G136" s="13">
        <v>70517</v>
      </c>
      <c r="H136" s="13">
        <v>7411</v>
      </c>
      <c r="I136" s="7" t="s">
        <v>19</v>
      </c>
      <c r="J136" s="14">
        <f t="shared" si="2"/>
        <v>211551</v>
      </c>
      <c r="K136" s="14">
        <f>Table2[[#This Row],[Revenue]]-Table2[[#This Row],[Expense]]</f>
        <v>204140</v>
      </c>
    </row>
    <row r="137" spans="1:11">
      <c r="A137" s="16" t="s">
        <v>160</v>
      </c>
      <c r="B137" s="10">
        <v>45438</v>
      </c>
      <c r="C137" s="10" t="str">
        <f>TEXT(Table2[[#This Row],[Date]],"mmm-yyyy")</f>
        <v>May-2024</v>
      </c>
      <c r="D137" s="7" t="s">
        <v>1</v>
      </c>
      <c r="E137" s="7" t="s">
        <v>16</v>
      </c>
      <c r="F137" s="7">
        <v>8</v>
      </c>
      <c r="G137" s="13">
        <v>42068</v>
      </c>
      <c r="H137" s="13">
        <v>28624</v>
      </c>
      <c r="I137" s="7" t="s">
        <v>17</v>
      </c>
      <c r="J137" s="14">
        <f t="shared" si="2"/>
        <v>336544</v>
      </c>
      <c r="K137" s="14">
        <f>Table2[[#This Row],[Revenue]]-Table2[[#This Row],[Expense]]</f>
        <v>307920</v>
      </c>
    </row>
    <row r="138" spans="1:11">
      <c r="A138" s="16" t="s">
        <v>161</v>
      </c>
      <c r="B138" s="10">
        <v>45438</v>
      </c>
      <c r="C138" s="10" t="str">
        <f>TEXT(Table2[[#This Row],[Date]],"mmm-yyyy")</f>
        <v>May-2024</v>
      </c>
      <c r="D138" s="7" t="s">
        <v>1</v>
      </c>
      <c r="E138" s="7" t="s">
        <v>24</v>
      </c>
      <c r="F138" s="7">
        <v>3</v>
      </c>
      <c r="G138" s="13">
        <v>54244</v>
      </c>
      <c r="H138" s="13">
        <v>12531</v>
      </c>
      <c r="I138" s="7" t="s">
        <v>30</v>
      </c>
      <c r="J138" s="14">
        <f t="shared" si="2"/>
        <v>162732</v>
      </c>
      <c r="K138" s="14">
        <f>Table2[[#This Row],[Revenue]]-Table2[[#This Row],[Expense]]</f>
        <v>150201</v>
      </c>
    </row>
    <row r="139" spans="1:11">
      <c r="A139" s="16" t="s">
        <v>162</v>
      </c>
      <c r="B139" s="10">
        <v>45438</v>
      </c>
      <c r="C139" s="10" t="str">
        <f>TEXT(Table2[[#This Row],[Date]],"mmm-yyyy")</f>
        <v>May-2024</v>
      </c>
      <c r="D139" s="7" t="s">
        <v>1</v>
      </c>
      <c r="E139" s="7" t="s">
        <v>16</v>
      </c>
      <c r="F139" s="7">
        <v>5</v>
      </c>
      <c r="G139" s="13">
        <v>43100</v>
      </c>
      <c r="H139" s="13">
        <v>44553</v>
      </c>
      <c r="I139" s="7" t="s">
        <v>17</v>
      </c>
      <c r="J139" s="14">
        <f t="shared" si="2"/>
        <v>215500</v>
      </c>
      <c r="K139" s="14">
        <f>Table2[[#This Row],[Revenue]]-Table2[[#This Row],[Expense]]</f>
        <v>170947</v>
      </c>
    </row>
    <row r="140" spans="1:11">
      <c r="A140" s="16" t="s">
        <v>163</v>
      </c>
      <c r="B140" s="10">
        <v>45439</v>
      </c>
      <c r="C140" s="10" t="str">
        <f>TEXT(Table2[[#This Row],[Date]],"mmm-yyyy")</f>
        <v>May-2024</v>
      </c>
      <c r="D140" s="7" t="s">
        <v>2</v>
      </c>
      <c r="E140" s="7" t="s">
        <v>16</v>
      </c>
      <c r="F140" s="7">
        <v>2</v>
      </c>
      <c r="G140" s="13">
        <v>62088</v>
      </c>
      <c r="H140" s="13">
        <v>7519</v>
      </c>
      <c r="I140" s="7" t="s">
        <v>36</v>
      </c>
      <c r="J140" s="14">
        <f t="shared" si="2"/>
        <v>124176</v>
      </c>
      <c r="K140" s="14">
        <f>Table2[[#This Row],[Revenue]]-Table2[[#This Row],[Expense]]</f>
        <v>116657</v>
      </c>
    </row>
    <row r="141" spans="1:11">
      <c r="A141" s="16" t="s">
        <v>164</v>
      </c>
      <c r="B141" s="10">
        <v>45439</v>
      </c>
      <c r="C141" s="10" t="str">
        <f>TEXT(Table2[[#This Row],[Date]],"mmm-yyyy")</f>
        <v>May-2024</v>
      </c>
      <c r="D141" s="7" t="s">
        <v>26</v>
      </c>
      <c r="E141" s="7" t="s">
        <v>24</v>
      </c>
      <c r="F141" s="7">
        <v>3</v>
      </c>
      <c r="G141" s="13">
        <v>47351</v>
      </c>
      <c r="H141" s="13">
        <v>7823</v>
      </c>
      <c r="I141" s="7" t="s">
        <v>30</v>
      </c>
      <c r="J141" s="14">
        <f t="shared" si="2"/>
        <v>142053</v>
      </c>
      <c r="K141" s="14">
        <f>Table2[[#This Row],[Revenue]]-Table2[[#This Row],[Expense]]</f>
        <v>134230</v>
      </c>
    </row>
    <row r="142" spans="1:11">
      <c r="A142" s="16" t="s">
        <v>165</v>
      </c>
      <c r="B142" s="10">
        <v>45441</v>
      </c>
      <c r="C142" s="10" t="str">
        <f>TEXT(Table2[[#This Row],[Date]],"mmm-yyyy")</f>
        <v>May-2024</v>
      </c>
      <c r="D142" s="7" t="s">
        <v>1</v>
      </c>
      <c r="E142" s="7" t="s">
        <v>22</v>
      </c>
      <c r="F142" s="7">
        <v>6</v>
      </c>
      <c r="G142" s="13">
        <v>36559</v>
      </c>
      <c r="H142" s="13">
        <v>2376</v>
      </c>
      <c r="I142" s="7" t="s">
        <v>36</v>
      </c>
      <c r="J142" s="14">
        <f t="shared" si="2"/>
        <v>219354</v>
      </c>
      <c r="K142" s="14">
        <f>Table2[[#This Row],[Revenue]]-Table2[[#This Row],[Expense]]</f>
        <v>216978</v>
      </c>
    </row>
    <row r="143" spans="1:11">
      <c r="A143" s="16" t="s">
        <v>166</v>
      </c>
      <c r="B143" s="10">
        <v>45442</v>
      </c>
      <c r="C143" s="10" t="str">
        <f>TEXT(Table2[[#This Row],[Date]],"mmm-yyyy")</f>
        <v>May-2024</v>
      </c>
      <c r="D143" s="7" t="s">
        <v>3</v>
      </c>
      <c r="E143" s="7" t="s">
        <v>22</v>
      </c>
      <c r="F143" s="7">
        <v>3</v>
      </c>
      <c r="G143" s="13">
        <v>28105</v>
      </c>
      <c r="H143" s="13">
        <v>24128</v>
      </c>
      <c r="I143" s="7" t="s">
        <v>30</v>
      </c>
      <c r="J143" s="14">
        <f t="shared" si="2"/>
        <v>84315</v>
      </c>
      <c r="K143" s="14">
        <f>Table2[[#This Row],[Revenue]]-Table2[[#This Row],[Expense]]</f>
        <v>60187</v>
      </c>
    </row>
    <row r="144" spans="1:11">
      <c r="A144" s="16" t="s">
        <v>167</v>
      </c>
      <c r="B144" s="10">
        <v>45442</v>
      </c>
      <c r="C144" s="10" t="str">
        <f>TEXT(Table2[[#This Row],[Date]],"mmm-yyyy")</f>
        <v>May-2024</v>
      </c>
      <c r="D144" s="7" t="s">
        <v>26</v>
      </c>
      <c r="E144" s="7" t="s">
        <v>27</v>
      </c>
      <c r="F144" s="7">
        <v>1</v>
      </c>
      <c r="G144" s="13">
        <v>58441</v>
      </c>
      <c r="H144" s="13">
        <v>45898</v>
      </c>
      <c r="I144" s="7" t="s">
        <v>17</v>
      </c>
      <c r="J144" s="14">
        <f t="shared" si="2"/>
        <v>58441</v>
      </c>
      <c r="K144" s="14">
        <f>Table2[[#This Row],[Revenue]]-Table2[[#This Row],[Expense]]</f>
        <v>12543</v>
      </c>
    </row>
    <row r="145" spans="1:11">
      <c r="A145" s="16" t="s">
        <v>168</v>
      </c>
      <c r="B145" s="10">
        <v>45443</v>
      </c>
      <c r="C145" s="10" t="str">
        <f>TEXT(Table2[[#This Row],[Date]],"mmm-yyyy")</f>
        <v>May-2024</v>
      </c>
      <c r="D145" s="7" t="s">
        <v>4</v>
      </c>
      <c r="E145" s="7" t="s">
        <v>22</v>
      </c>
      <c r="F145" s="7">
        <v>7</v>
      </c>
      <c r="G145" s="13">
        <v>27484</v>
      </c>
      <c r="H145" s="13">
        <v>28044</v>
      </c>
      <c r="I145" s="7" t="s">
        <v>19</v>
      </c>
      <c r="J145" s="14">
        <f t="shared" si="2"/>
        <v>192388</v>
      </c>
      <c r="K145" s="14">
        <f>Table2[[#This Row],[Revenue]]-Table2[[#This Row],[Expense]]</f>
        <v>164344</v>
      </c>
    </row>
    <row r="146" spans="1:11">
      <c r="A146" s="16" t="s">
        <v>169</v>
      </c>
      <c r="B146" s="10">
        <v>45443</v>
      </c>
      <c r="C146" s="10" t="str">
        <f>TEXT(Table2[[#This Row],[Date]],"mmm-yyyy")</f>
        <v>May-2024</v>
      </c>
      <c r="D146" s="7" t="s">
        <v>1</v>
      </c>
      <c r="E146" s="7" t="s">
        <v>27</v>
      </c>
      <c r="F146" s="7">
        <v>3</v>
      </c>
      <c r="G146" s="13">
        <v>77457</v>
      </c>
      <c r="H146" s="13">
        <v>19745</v>
      </c>
      <c r="I146" s="7" t="s">
        <v>19</v>
      </c>
      <c r="J146" s="14">
        <f t="shared" si="2"/>
        <v>232371</v>
      </c>
      <c r="K146" s="14">
        <f>Table2[[#This Row],[Revenue]]-Table2[[#This Row],[Expense]]</f>
        <v>212626</v>
      </c>
    </row>
    <row r="147" spans="1:11">
      <c r="A147" s="16" t="s">
        <v>170</v>
      </c>
      <c r="B147" s="10">
        <v>45443</v>
      </c>
      <c r="C147" s="10" t="str">
        <f>TEXT(Table2[[#This Row],[Date]],"mmm-yyyy")</f>
        <v>May-2024</v>
      </c>
      <c r="D147" s="7" t="s">
        <v>2</v>
      </c>
      <c r="E147" s="7" t="s">
        <v>24</v>
      </c>
      <c r="F147" s="7">
        <v>1</v>
      </c>
      <c r="G147" s="13">
        <v>29800</v>
      </c>
      <c r="H147" s="13">
        <v>12116</v>
      </c>
      <c r="I147" s="7" t="s">
        <v>36</v>
      </c>
      <c r="J147" s="14">
        <f t="shared" si="2"/>
        <v>29800</v>
      </c>
      <c r="K147" s="14">
        <f>Table2[[#This Row],[Revenue]]-Table2[[#This Row],[Expense]]</f>
        <v>17684</v>
      </c>
    </row>
    <row r="148" spans="1:11">
      <c r="A148" s="16" t="s">
        <v>171</v>
      </c>
      <c r="B148" s="10">
        <v>45444</v>
      </c>
      <c r="C148" s="10" t="str">
        <f>TEXT(Table2[[#This Row],[Date]],"mmm-yyyy")</f>
        <v>Jun-2024</v>
      </c>
      <c r="D148" s="7" t="s">
        <v>26</v>
      </c>
      <c r="E148" s="7" t="s">
        <v>24</v>
      </c>
      <c r="F148" s="7">
        <v>4</v>
      </c>
      <c r="G148" s="13">
        <v>33660</v>
      </c>
      <c r="H148" s="13">
        <v>6906</v>
      </c>
      <c r="I148" s="7" t="s">
        <v>17</v>
      </c>
      <c r="J148" s="14">
        <f t="shared" si="2"/>
        <v>134640</v>
      </c>
      <c r="K148" s="14">
        <f>Table2[[#This Row],[Revenue]]-Table2[[#This Row],[Expense]]</f>
        <v>127734</v>
      </c>
    </row>
    <row r="149" spans="1:11">
      <c r="A149" s="16" t="s">
        <v>172</v>
      </c>
      <c r="B149" s="10">
        <v>45448</v>
      </c>
      <c r="C149" s="10" t="str">
        <f>TEXT(Table2[[#This Row],[Date]],"mmm-yyyy")</f>
        <v>Jun-2024</v>
      </c>
      <c r="D149" s="7" t="s">
        <v>4</v>
      </c>
      <c r="E149" s="7" t="s">
        <v>16</v>
      </c>
      <c r="F149" s="7">
        <v>3</v>
      </c>
      <c r="G149" s="13">
        <v>52749</v>
      </c>
      <c r="H149" s="13">
        <v>17044</v>
      </c>
      <c r="I149" s="7" t="s">
        <v>19</v>
      </c>
      <c r="J149" s="14">
        <f t="shared" si="2"/>
        <v>158247</v>
      </c>
      <c r="K149" s="14">
        <f>Table2[[#This Row],[Revenue]]-Table2[[#This Row],[Expense]]</f>
        <v>141203</v>
      </c>
    </row>
    <row r="150" spans="1:11">
      <c r="A150" s="16" t="s">
        <v>173</v>
      </c>
      <c r="B150" s="10">
        <v>45449</v>
      </c>
      <c r="C150" s="10" t="str">
        <f>TEXT(Table2[[#This Row],[Date]],"mmm-yyyy")</f>
        <v>Jun-2024</v>
      </c>
      <c r="D150" s="7" t="s">
        <v>26</v>
      </c>
      <c r="E150" s="7" t="s">
        <v>16</v>
      </c>
      <c r="F150" s="7">
        <v>5</v>
      </c>
      <c r="G150" s="13">
        <v>64527</v>
      </c>
      <c r="H150" s="13">
        <v>22953</v>
      </c>
      <c r="I150" s="7" t="s">
        <v>19</v>
      </c>
      <c r="J150" s="14">
        <f t="shared" si="2"/>
        <v>322635</v>
      </c>
      <c r="K150" s="14">
        <f>Table2[[#This Row],[Revenue]]-Table2[[#This Row],[Expense]]</f>
        <v>299682</v>
      </c>
    </row>
    <row r="151" spans="1:11">
      <c r="A151" s="16" t="s">
        <v>174</v>
      </c>
      <c r="B151" s="10">
        <v>45449</v>
      </c>
      <c r="C151" s="10" t="str">
        <f>TEXT(Table2[[#This Row],[Date]],"mmm-yyyy")</f>
        <v>Jun-2024</v>
      </c>
      <c r="D151" s="7" t="s">
        <v>2</v>
      </c>
      <c r="E151" s="7" t="s">
        <v>16</v>
      </c>
      <c r="F151" s="7">
        <v>2</v>
      </c>
      <c r="G151" s="13">
        <v>25727</v>
      </c>
      <c r="H151" s="13">
        <v>19710</v>
      </c>
      <c r="I151" s="7" t="s">
        <v>30</v>
      </c>
      <c r="J151" s="14">
        <f t="shared" si="2"/>
        <v>51454</v>
      </c>
      <c r="K151" s="14">
        <f>Table2[[#This Row],[Revenue]]-Table2[[#This Row],[Expense]]</f>
        <v>31744</v>
      </c>
    </row>
    <row r="152" spans="1:11">
      <c r="A152" s="16" t="s">
        <v>175</v>
      </c>
      <c r="B152" s="10">
        <v>45451</v>
      </c>
      <c r="C152" s="10" t="str">
        <f>TEXT(Table2[[#This Row],[Date]],"mmm-yyyy")</f>
        <v>Jun-2024</v>
      </c>
      <c r="D152" s="7" t="s">
        <v>3</v>
      </c>
      <c r="E152" s="7" t="s">
        <v>24</v>
      </c>
      <c r="F152" s="7">
        <v>5</v>
      </c>
      <c r="G152" s="13">
        <v>11026</v>
      </c>
      <c r="H152" s="13">
        <v>10067</v>
      </c>
      <c r="I152" s="7" t="s">
        <v>17</v>
      </c>
      <c r="J152" s="14">
        <f t="shared" si="2"/>
        <v>55130</v>
      </c>
      <c r="K152" s="14">
        <f>Table2[[#This Row],[Revenue]]-Table2[[#This Row],[Expense]]</f>
        <v>45063</v>
      </c>
    </row>
    <row r="153" spans="1:11">
      <c r="A153" s="16" t="s">
        <v>176</v>
      </c>
      <c r="B153" s="10">
        <v>45451</v>
      </c>
      <c r="C153" s="10" t="str">
        <f>TEXT(Table2[[#This Row],[Date]],"mmm-yyyy")</f>
        <v>Jun-2024</v>
      </c>
      <c r="D153" s="7" t="s">
        <v>1</v>
      </c>
      <c r="E153" s="7" t="s">
        <v>32</v>
      </c>
      <c r="F153" s="7">
        <v>3</v>
      </c>
      <c r="G153" s="13">
        <v>73665</v>
      </c>
      <c r="H153" s="13">
        <v>27928</v>
      </c>
      <c r="I153" s="7" t="s">
        <v>19</v>
      </c>
      <c r="J153" s="14">
        <f t="shared" si="2"/>
        <v>220995</v>
      </c>
      <c r="K153" s="14">
        <f>Table2[[#This Row],[Revenue]]-Table2[[#This Row],[Expense]]</f>
        <v>193067</v>
      </c>
    </row>
    <row r="154" spans="1:11">
      <c r="A154" s="16" t="s">
        <v>177</v>
      </c>
      <c r="B154" s="10">
        <v>45451</v>
      </c>
      <c r="C154" s="10" t="str">
        <f>TEXT(Table2[[#This Row],[Date]],"mmm-yyyy")</f>
        <v>Jun-2024</v>
      </c>
      <c r="D154" s="7" t="s">
        <v>3</v>
      </c>
      <c r="E154" s="7" t="s">
        <v>22</v>
      </c>
      <c r="F154" s="7">
        <v>2</v>
      </c>
      <c r="G154" s="13">
        <v>32322</v>
      </c>
      <c r="H154" s="13">
        <v>15357</v>
      </c>
      <c r="I154" s="7" t="s">
        <v>36</v>
      </c>
      <c r="J154" s="14">
        <f t="shared" si="2"/>
        <v>64644</v>
      </c>
      <c r="K154" s="14">
        <f>Table2[[#This Row],[Revenue]]-Table2[[#This Row],[Expense]]</f>
        <v>49287</v>
      </c>
    </row>
    <row r="155" spans="1:11">
      <c r="A155" s="16" t="s">
        <v>178</v>
      </c>
      <c r="B155" s="10">
        <v>45451</v>
      </c>
      <c r="C155" s="10" t="str">
        <f>TEXT(Table2[[#This Row],[Date]],"mmm-yyyy")</f>
        <v>Jun-2024</v>
      </c>
      <c r="D155" s="7" t="s">
        <v>15</v>
      </c>
      <c r="E155" s="7" t="s">
        <v>27</v>
      </c>
      <c r="F155" s="7">
        <v>5</v>
      </c>
      <c r="G155" s="13">
        <v>53920</v>
      </c>
      <c r="H155" s="13">
        <v>48657</v>
      </c>
      <c r="I155" s="7" t="s">
        <v>36</v>
      </c>
      <c r="J155" s="14">
        <f t="shared" si="2"/>
        <v>269600</v>
      </c>
      <c r="K155" s="14">
        <f>Table2[[#This Row],[Revenue]]-Table2[[#This Row],[Expense]]</f>
        <v>220943</v>
      </c>
    </row>
    <row r="156" spans="1:11">
      <c r="A156" s="16" t="s">
        <v>179</v>
      </c>
      <c r="B156" s="10">
        <v>45452</v>
      </c>
      <c r="C156" s="10" t="str">
        <f>TEXT(Table2[[#This Row],[Date]],"mmm-yyyy")</f>
        <v>Jun-2024</v>
      </c>
      <c r="D156" s="7" t="s">
        <v>3</v>
      </c>
      <c r="E156" s="7" t="s">
        <v>24</v>
      </c>
      <c r="F156" s="7">
        <v>6</v>
      </c>
      <c r="G156" s="13">
        <v>29665</v>
      </c>
      <c r="H156" s="13">
        <v>30806</v>
      </c>
      <c r="I156" s="7" t="s">
        <v>17</v>
      </c>
      <c r="J156" s="14">
        <f t="shared" si="2"/>
        <v>177990</v>
      </c>
      <c r="K156" s="14">
        <f>Table2[[#This Row],[Revenue]]-Table2[[#This Row],[Expense]]</f>
        <v>147184</v>
      </c>
    </row>
    <row r="157" spans="1:11">
      <c r="A157" s="16" t="s">
        <v>180</v>
      </c>
      <c r="B157" s="10">
        <v>45452</v>
      </c>
      <c r="C157" s="10" t="str">
        <f>TEXT(Table2[[#This Row],[Date]],"mmm-yyyy")</f>
        <v>Jun-2024</v>
      </c>
      <c r="D157" s="7" t="s">
        <v>26</v>
      </c>
      <c r="E157" s="7" t="s">
        <v>27</v>
      </c>
      <c r="F157" s="7">
        <v>4</v>
      </c>
      <c r="G157" s="13">
        <v>37987</v>
      </c>
      <c r="H157" s="13">
        <v>14937</v>
      </c>
      <c r="I157" s="7" t="s">
        <v>17</v>
      </c>
      <c r="J157" s="14">
        <f t="shared" si="2"/>
        <v>151948</v>
      </c>
      <c r="K157" s="14">
        <f>Table2[[#This Row],[Revenue]]-Table2[[#This Row],[Expense]]</f>
        <v>137011</v>
      </c>
    </row>
    <row r="158" spans="1:11">
      <c r="A158" s="16" t="s">
        <v>181</v>
      </c>
      <c r="B158" s="10">
        <v>45452</v>
      </c>
      <c r="C158" s="10" t="str">
        <f>TEXT(Table2[[#This Row],[Date]],"mmm-yyyy")</f>
        <v>Jun-2024</v>
      </c>
      <c r="D158" s="7" t="s">
        <v>15</v>
      </c>
      <c r="E158" s="7" t="s">
        <v>16</v>
      </c>
      <c r="F158" s="7">
        <v>4</v>
      </c>
      <c r="G158" s="13">
        <v>74116</v>
      </c>
      <c r="H158" s="13">
        <v>9438</v>
      </c>
      <c r="I158" s="7" t="s">
        <v>19</v>
      </c>
      <c r="J158" s="14">
        <f t="shared" si="2"/>
        <v>296464</v>
      </c>
      <c r="K158" s="14">
        <f>Table2[[#This Row],[Revenue]]-Table2[[#This Row],[Expense]]</f>
        <v>287026</v>
      </c>
    </row>
    <row r="159" spans="1:11">
      <c r="A159" s="16" t="s">
        <v>182</v>
      </c>
      <c r="B159" s="10">
        <v>45452</v>
      </c>
      <c r="C159" s="10" t="str">
        <f>TEXT(Table2[[#This Row],[Date]],"mmm-yyyy")</f>
        <v>Jun-2024</v>
      </c>
      <c r="D159" s="7" t="s">
        <v>15</v>
      </c>
      <c r="E159" s="7" t="s">
        <v>16</v>
      </c>
      <c r="F159" s="7">
        <v>2</v>
      </c>
      <c r="G159" s="13">
        <v>14791</v>
      </c>
      <c r="H159" s="13">
        <v>22447</v>
      </c>
      <c r="I159" s="7" t="s">
        <v>30</v>
      </c>
      <c r="J159" s="14">
        <f t="shared" si="2"/>
        <v>29582</v>
      </c>
      <c r="K159" s="14">
        <f>Table2[[#This Row],[Revenue]]-Table2[[#This Row],[Expense]]</f>
        <v>7135</v>
      </c>
    </row>
    <row r="160" spans="1:11">
      <c r="A160" s="16" t="s">
        <v>183</v>
      </c>
      <c r="B160" s="10">
        <v>45453</v>
      </c>
      <c r="C160" s="10" t="str">
        <f>TEXT(Table2[[#This Row],[Date]],"mmm-yyyy")</f>
        <v>Jun-2024</v>
      </c>
      <c r="D160" s="7" t="s">
        <v>26</v>
      </c>
      <c r="E160" s="7" t="s">
        <v>24</v>
      </c>
      <c r="F160" s="7">
        <v>5</v>
      </c>
      <c r="G160" s="13">
        <v>55191</v>
      </c>
      <c r="H160" s="13">
        <v>30197</v>
      </c>
      <c r="I160" s="7" t="s">
        <v>30</v>
      </c>
      <c r="J160" s="14">
        <f t="shared" si="2"/>
        <v>275955</v>
      </c>
      <c r="K160" s="14">
        <f>Table2[[#This Row],[Revenue]]-Table2[[#This Row],[Expense]]</f>
        <v>245758</v>
      </c>
    </row>
    <row r="161" spans="1:11">
      <c r="A161" s="16" t="s">
        <v>184</v>
      </c>
      <c r="B161" s="10">
        <v>45454</v>
      </c>
      <c r="C161" s="10" t="str">
        <f>TEXT(Table2[[#This Row],[Date]],"mmm-yyyy")</f>
        <v>Jun-2024</v>
      </c>
      <c r="D161" s="7" t="s">
        <v>26</v>
      </c>
      <c r="E161" s="7" t="s">
        <v>32</v>
      </c>
      <c r="F161" s="7">
        <v>9</v>
      </c>
      <c r="G161" s="13">
        <v>18133</v>
      </c>
      <c r="H161" s="13">
        <v>11028</v>
      </c>
      <c r="I161" s="7" t="s">
        <v>30</v>
      </c>
      <c r="J161" s="14">
        <f t="shared" si="2"/>
        <v>163197</v>
      </c>
      <c r="K161" s="14">
        <f>Table2[[#This Row],[Revenue]]-Table2[[#This Row],[Expense]]</f>
        <v>152169</v>
      </c>
    </row>
    <row r="162" spans="1:11">
      <c r="A162" s="16" t="s">
        <v>185</v>
      </c>
      <c r="B162" s="10">
        <v>45454</v>
      </c>
      <c r="C162" s="10" t="str">
        <f>TEXT(Table2[[#This Row],[Date]],"mmm-yyyy")</f>
        <v>Jun-2024</v>
      </c>
      <c r="D162" s="7" t="s">
        <v>2</v>
      </c>
      <c r="E162" s="7" t="s">
        <v>22</v>
      </c>
      <c r="F162" s="7">
        <v>8</v>
      </c>
      <c r="G162" s="13">
        <v>51931</v>
      </c>
      <c r="H162" s="13">
        <v>2283</v>
      </c>
      <c r="I162" s="7" t="s">
        <v>17</v>
      </c>
      <c r="J162" s="14">
        <f t="shared" si="2"/>
        <v>415448</v>
      </c>
      <c r="K162" s="14">
        <f>Table2[[#This Row],[Revenue]]-Table2[[#This Row],[Expense]]</f>
        <v>413165</v>
      </c>
    </row>
    <row r="163" spans="1:11">
      <c r="A163" s="16" t="s">
        <v>186</v>
      </c>
      <c r="B163" s="10">
        <v>45456</v>
      </c>
      <c r="C163" s="10" t="str">
        <f>TEXT(Table2[[#This Row],[Date]],"mmm-yyyy")</f>
        <v>Jun-2024</v>
      </c>
      <c r="D163" s="7" t="s">
        <v>26</v>
      </c>
      <c r="E163" s="7" t="s">
        <v>24</v>
      </c>
      <c r="F163" s="7">
        <v>4</v>
      </c>
      <c r="G163" s="13">
        <v>65112</v>
      </c>
      <c r="H163" s="13">
        <v>37727</v>
      </c>
      <c r="I163" s="7" t="s">
        <v>17</v>
      </c>
      <c r="J163" s="14">
        <f t="shared" si="2"/>
        <v>260448</v>
      </c>
      <c r="K163" s="14">
        <f>Table2[[#This Row],[Revenue]]-Table2[[#This Row],[Expense]]</f>
        <v>222721</v>
      </c>
    </row>
    <row r="164" spans="1:11">
      <c r="A164" s="16" t="s">
        <v>187</v>
      </c>
      <c r="B164" s="10">
        <v>45458</v>
      </c>
      <c r="C164" s="10" t="str">
        <f>TEXT(Table2[[#This Row],[Date]],"mmm-yyyy")</f>
        <v>Jun-2024</v>
      </c>
      <c r="D164" s="7" t="s">
        <v>1</v>
      </c>
      <c r="E164" s="7" t="s">
        <v>27</v>
      </c>
      <c r="F164" s="7">
        <v>2</v>
      </c>
      <c r="G164" s="13">
        <v>5260</v>
      </c>
      <c r="H164" s="13">
        <v>36851</v>
      </c>
      <c r="I164" s="7" t="s">
        <v>36</v>
      </c>
      <c r="J164" s="14">
        <f t="shared" si="2"/>
        <v>10520</v>
      </c>
      <c r="K164" s="14">
        <f>Table2[[#This Row],[Revenue]]-Table2[[#This Row],[Expense]]</f>
        <v>-26331</v>
      </c>
    </row>
    <row r="165" spans="1:11">
      <c r="A165" s="16" t="s">
        <v>188</v>
      </c>
      <c r="B165" s="10">
        <v>45460</v>
      </c>
      <c r="C165" s="10" t="str">
        <f>TEXT(Table2[[#This Row],[Date]],"mmm-yyyy")</f>
        <v>Jun-2024</v>
      </c>
      <c r="D165" s="7" t="s">
        <v>15</v>
      </c>
      <c r="E165" s="7" t="s">
        <v>22</v>
      </c>
      <c r="F165" s="7">
        <v>3</v>
      </c>
      <c r="G165" s="13">
        <v>23972</v>
      </c>
      <c r="H165" s="13">
        <v>2529</v>
      </c>
      <c r="I165" s="7" t="s">
        <v>17</v>
      </c>
      <c r="J165" s="14">
        <f t="shared" si="2"/>
        <v>71916</v>
      </c>
      <c r="K165" s="14">
        <f>Table2[[#This Row],[Revenue]]-Table2[[#This Row],[Expense]]</f>
        <v>69387</v>
      </c>
    </row>
    <row r="166" spans="1:11">
      <c r="A166" s="16" t="s">
        <v>189</v>
      </c>
      <c r="B166" s="10">
        <v>45461</v>
      </c>
      <c r="C166" s="10" t="str">
        <f>TEXT(Table2[[#This Row],[Date]],"mmm-yyyy")</f>
        <v>Jun-2024</v>
      </c>
      <c r="D166" s="7" t="s">
        <v>15</v>
      </c>
      <c r="E166" s="7" t="s">
        <v>32</v>
      </c>
      <c r="F166" s="7">
        <v>4</v>
      </c>
      <c r="G166" s="13">
        <v>52424</v>
      </c>
      <c r="H166" s="13">
        <v>43815</v>
      </c>
      <c r="I166" s="7" t="s">
        <v>30</v>
      </c>
      <c r="J166" s="14">
        <f t="shared" si="2"/>
        <v>209696</v>
      </c>
      <c r="K166" s="14">
        <f>Table2[[#This Row],[Revenue]]-Table2[[#This Row],[Expense]]</f>
        <v>165881</v>
      </c>
    </row>
    <row r="167" spans="1:11">
      <c r="A167" s="16" t="s">
        <v>190</v>
      </c>
      <c r="B167" s="10">
        <v>45461</v>
      </c>
      <c r="C167" s="10" t="str">
        <f>TEXT(Table2[[#This Row],[Date]],"mmm-yyyy")</f>
        <v>Jun-2024</v>
      </c>
      <c r="D167" s="7" t="s">
        <v>2</v>
      </c>
      <c r="E167" s="7" t="s">
        <v>32</v>
      </c>
      <c r="F167" s="7">
        <v>1</v>
      </c>
      <c r="G167" s="13">
        <v>46979</v>
      </c>
      <c r="H167" s="13">
        <v>35742</v>
      </c>
      <c r="I167" s="7" t="s">
        <v>19</v>
      </c>
      <c r="J167" s="14">
        <f t="shared" si="2"/>
        <v>46979</v>
      </c>
      <c r="K167" s="14">
        <f>Table2[[#This Row],[Revenue]]-Table2[[#This Row],[Expense]]</f>
        <v>11237</v>
      </c>
    </row>
    <row r="168" spans="1:11">
      <c r="A168" s="16" t="s">
        <v>191</v>
      </c>
      <c r="B168" s="10">
        <v>45462</v>
      </c>
      <c r="C168" s="10" t="str">
        <f>TEXT(Table2[[#This Row],[Date]],"mmm-yyyy")</f>
        <v>Jun-2024</v>
      </c>
      <c r="D168" s="7" t="s">
        <v>2</v>
      </c>
      <c r="E168" s="7" t="s">
        <v>16</v>
      </c>
      <c r="F168" s="7">
        <v>3</v>
      </c>
      <c r="G168" s="13">
        <v>45343</v>
      </c>
      <c r="H168" s="13">
        <v>46603</v>
      </c>
      <c r="I168" s="7" t="s">
        <v>30</v>
      </c>
      <c r="J168" s="14">
        <f t="shared" si="2"/>
        <v>136029</v>
      </c>
      <c r="K168" s="14">
        <f>Table2[[#This Row],[Revenue]]-Table2[[#This Row],[Expense]]</f>
        <v>89426</v>
      </c>
    </row>
    <row r="169" spans="1:11">
      <c r="A169" s="16" t="s">
        <v>192</v>
      </c>
      <c r="B169" s="10">
        <v>45463</v>
      </c>
      <c r="C169" s="10" t="str">
        <f>TEXT(Table2[[#This Row],[Date]],"mmm-yyyy")</f>
        <v>Jun-2024</v>
      </c>
      <c r="D169" s="7" t="s">
        <v>26</v>
      </c>
      <c r="E169" s="7" t="s">
        <v>32</v>
      </c>
      <c r="F169" s="7">
        <v>2</v>
      </c>
      <c r="G169" s="13">
        <v>62938</v>
      </c>
      <c r="H169" s="13">
        <v>7397</v>
      </c>
      <c r="I169" s="7" t="s">
        <v>17</v>
      </c>
      <c r="J169" s="14">
        <f t="shared" si="2"/>
        <v>125876</v>
      </c>
      <c r="K169" s="14">
        <f>Table2[[#This Row],[Revenue]]-Table2[[#This Row],[Expense]]</f>
        <v>118479</v>
      </c>
    </row>
    <row r="170" spans="1:11">
      <c r="A170" s="16" t="s">
        <v>193</v>
      </c>
      <c r="B170" s="10">
        <v>45463</v>
      </c>
      <c r="C170" s="10" t="str">
        <f>TEXT(Table2[[#This Row],[Date]],"mmm-yyyy")</f>
        <v>Jun-2024</v>
      </c>
      <c r="D170" s="7" t="s">
        <v>4</v>
      </c>
      <c r="E170" s="7" t="s">
        <v>32</v>
      </c>
      <c r="F170" s="7">
        <v>5</v>
      </c>
      <c r="G170" s="13">
        <v>35094</v>
      </c>
      <c r="H170" s="13">
        <v>21644</v>
      </c>
      <c r="I170" s="7" t="s">
        <v>30</v>
      </c>
      <c r="J170" s="14">
        <f t="shared" si="2"/>
        <v>175470</v>
      </c>
      <c r="K170" s="14">
        <f>Table2[[#This Row],[Revenue]]-Table2[[#This Row],[Expense]]</f>
        <v>153826</v>
      </c>
    </row>
    <row r="171" spans="1:11">
      <c r="A171" s="16" t="s">
        <v>194</v>
      </c>
      <c r="B171" s="10">
        <v>45463</v>
      </c>
      <c r="C171" s="10" t="str">
        <f>TEXT(Table2[[#This Row],[Date]],"mmm-yyyy")</f>
        <v>Jun-2024</v>
      </c>
      <c r="D171" s="7" t="s">
        <v>4</v>
      </c>
      <c r="E171" s="7" t="s">
        <v>27</v>
      </c>
      <c r="F171" s="7">
        <v>8</v>
      </c>
      <c r="G171" s="13">
        <v>17847</v>
      </c>
      <c r="H171" s="13">
        <v>14140</v>
      </c>
      <c r="I171" s="7" t="s">
        <v>36</v>
      </c>
      <c r="J171" s="14">
        <f t="shared" si="2"/>
        <v>142776</v>
      </c>
      <c r="K171" s="14">
        <f>Table2[[#This Row],[Revenue]]-Table2[[#This Row],[Expense]]</f>
        <v>128636</v>
      </c>
    </row>
    <row r="172" spans="1:11">
      <c r="A172" s="16" t="s">
        <v>195</v>
      </c>
      <c r="B172" s="10">
        <v>45463</v>
      </c>
      <c r="C172" s="10" t="str">
        <f>TEXT(Table2[[#This Row],[Date]],"mmm-yyyy")</f>
        <v>Jun-2024</v>
      </c>
      <c r="D172" s="7" t="s">
        <v>15</v>
      </c>
      <c r="E172" s="7" t="s">
        <v>32</v>
      </c>
      <c r="F172" s="7">
        <v>4</v>
      </c>
      <c r="G172" s="13">
        <v>47357</v>
      </c>
      <c r="H172" s="13">
        <v>34866</v>
      </c>
      <c r="I172" s="7" t="s">
        <v>17</v>
      </c>
      <c r="J172" s="14">
        <f t="shared" si="2"/>
        <v>189428</v>
      </c>
      <c r="K172" s="14">
        <f>Table2[[#This Row],[Revenue]]-Table2[[#This Row],[Expense]]</f>
        <v>154562</v>
      </c>
    </row>
    <row r="173" spans="1:11">
      <c r="A173" s="16" t="s">
        <v>196</v>
      </c>
      <c r="B173" s="10">
        <v>45465</v>
      </c>
      <c r="C173" s="10" t="str">
        <f>TEXT(Table2[[#This Row],[Date]],"mmm-yyyy")</f>
        <v>Jun-2024</v>
      </c>
      <c r="D173" s="7" t="s">
        <v>3</v>
      </c>
      <c r="E173" s="7" t="s">
        <v>16</v>
      </c>
      <c r="F173" s="7">
        <v>7</v>
      </c>
      <c r="G173" s="13">
        <v>57349</v>
      </c>
      <c r="H173" s="13">
        <v>45333</v>
      </c>
      <c r="I173" s="7" t="s">
        <v>17</v>
      </c>
      <c r="J173" s="14">
        <f t="shared" si="2"/>
        <v>401443</v>
      </c>
      <c r="K173" s="14">
        <f>Table2[[#This Row],[Revenue]]-Table2[[#This Row],[Expense]]</f>
        <v>356110</v>
      </c>
    </row>
    <row r="174" spans="1:11">
      <c r="A174" s="16" t="s">
        <v>197</v>
      </c>
      <c r="B174" s="10">
        <v>45466</v>
      </c>
      <c r="C174" s="10" t="str">
        <f>TEXT(Table2[[#This Row],[Date]],"mmm-yyyy")</f>
        <v>Jun-2024</v>
      </c>
      <c r="D174" s="7" t="s">
        <v>2</v>
      </c>
      <c r="E174" s="7" t="s">
        <v>32</v>
      </c>
      <c r="F174" s="7">
        <v>3</v>
      </c>
      <c r="G174" s="13">
        <v>9427</v>
      </c>
      <c r="H174" s="13">
        <v>40213</v>
      </c>
      <c r="I174" s="7" t="s">
        <v>19</v>
      </c>
      <c r="J174" s="14">
        <f t="shared" si="2"/>
        <v>28281</v>
      </c>
      <c r="K174" s="14">
        <f>Table2[[#This Row],[Revenue]]-Table2[[#This Row],[Expense]]</f>
        <v>-11932</v>
      </c>
    </row>
    <row r="175" spans="1:11">
      <c r="A175" s="16" t="s">
        <v>198</v>
      </c>
      <c r="B175" s="10">
        <v>45467</v>
      </c>
      <c r="C175" s="10" t="str">
        <f>TEXT(Table2[[#This Row],[Date]],"mmm-yyyy")</f>
        <v>Jun-2024</v>
      </c>
      <c r="D175" s="7" t="s">
        <v>4</v>
      </c>
      <c r="E175" s="7" t="s">
        <v>24</v>
      </c>
      <c r="F175" s="7">
        <v>7</v>
      </c>
      <c r="G175" s="13">
        <v>28582</v>
      </c>
      <c r="H175" s="13">
        <v>33220</v>
      </c>
      <c r="I175" s="7" t="s">
        <v>17</v>
      </c>
      <c r="J175" s="14">
        <f t="shared" si="2"/>
        <v>200074</v>
      </c>
      <c r="K175" s="14">
        <f>Table2[[#This Row],[Revenue]]-Table2[[#This Row],[Expense]]</f>
        <v>166854</v>
      </c>
    </row>
    <row r="176" spans="1:11">
      <c r="A176" s="16" t="s">
        <v>199</v>
      </c>
      <c r="B176" s="10">
        <v>45470</v>
      </c>
      <c r="C176" s="10" t="str">
        <f>TEXT(Table2[[#This Row],[Date]],"mmm-yyyy")</f>
        <v>Jun-2024</v>
      </c>
      <c r="D176" s="7" t="s">
        <v>1</v>
      </c>
      <c r="E176" s="7" t="s">
        <v>16</v>
      </c>
      <c r="F176" s="7">
        <v>7</v>
      </c>
      <c r="G176" s="13">
        <v>36878</v>
      </c>
      <c r="H176" s="13">
        <v>30312</v>
      </c>
      <c r="I176" s="7" t="s">
        <v>36</v>
      </c>
      <c r="J176" s="14">
        <f t="shared" si="2"/>
        <v>258146</v>
      </c>
      <c r="K176" s="14">
        <f>Table2[[#This Row],[Revenue]]-Table2[[#This Row],[Expense]]</f>
        <v>227834</v>
      </c>
    </row>
    <row r="177" spans="1:11">
      <c r="A177" s="16" t="s">
        <v>200</v>
      </c>
      <c r="B177" s="10">
        <v>45471</v>
      </c>
      <c r="C177" s="10" t="str">
        <f>TEXT(Table2[[#This Row],[Date]],"mmm-yyyy")</f>
        <v>Jun-2024</v>
      </c>
      <c r="D177" s="7" t="s">
        <v>3</v>
      </c>
      <c r="E177" s="7" t="s">
        <v>16</v>
      </c>
      <c r="F177" s="7">
        <v>2</v>
      </c>
      <c r="G177" s="13">
        <v>40961</v>
      </c>
      <c r="H177" s="13">
        <v>43891</v>
      </c>
      <c r="I177" s="7" t="s">
        <v>17</v>
      </c>
      <c r="J177" s="14">
        <f t="shared" si="2"/>
        <v>81922</v>
      </c>
      <c r="K177" s="14">
        <f>Table2[[#This Row],[Revenue]]-Table2[[#This Row],[Expense]]</f>
        <v>38031</v>
      </c>
    </row>
    <row r="178" spans="1:11">
      <c r="A178" s="16" t="s">
        <v>201</v>
      </c>
      <c r="B178" s="10">
        <v>45472</v>
      </c>
      <c r="C178" s="10" t="str">
        <f>TEXT(Table2[[#This Row],[Date]],"mmm-yyyy")</f>
        <v>Jun-2024</v>
      </c>
      <c r="D178" s="7" t="s">
        <v>26</v>
      </c>
      <c r="E178" s="7" t="s">
        <v>27</v>
      </c>
      <c r="F178" s="7">
        <v>3</v>
      </c>
      <c r="G178" s="13">
        <v>27306</v>
      </c>
      <c r="H178" s="13">
        <v>23433</v>
      </c>
      <c r="I178" s="7" t="s">
        <v>19</v>
      </c>
      <c r="J178" s="14">
        <f t="shared" si="2"/>
        <v>81918</v>
      </c>
      <c r="K178" s="14">
        <f>Table2[[#This Row],[Revenue]]-Table2[[#This Row],[Expense]]</f>
        <v>58485</v>
      </c>
    </row>
    <row r="179" spans="1:11">
      <c r="A179" s="16" t="s">
        <v>202</v>
      </c>
      <c r="B179" s="10">
        <v>45475</v>
      </c>
      <c r="C179" s="10" t="str">
        <f>TEXT(Table2[[#This Row],[Date]],"mmm-yyyy")</f>
        <v>Jul-2024</v>
      </c>
      <c r="D179" s="7" t="s">
        <v>4</v>
      </c>
      <c r="E179" s="7" t="s">
        <v>32</v>
      </c>
      <c r="F179" s="7">
        <v>8</v>
      </c>
      <c r="G179" s="13">
        <v>34113</v>
      </c>
      <c r="H179" s="13">
        <v>13924</v>
      </c>
      <c r="I179" s="7" t="s">
        <v>30</v>
      </c>
      <c r="J179" s="14">
        <f t="shared" si="2"/>
        <v>272904</v>
      </c>
      <c r="K179" s="14">
        <f>Table2[[#This Row],[Revenue]]-Table2[[#This Row],[Expense]]</f>
        <v>258980</v>
      </c>
    </row>
    <row r="180" spans="1:11">
      <c r="A180" s="16" t="s">
        <v>203</v>
      </c>
      <c r="B180" s="10">
        <v>45478</v>
      </c>
      <c r="C180" s="10" t="str">
        <f>TEXT(Table2[[#This Row],[Date]],"mmm-yyyy")</f>
        <v>Jul-2024</v>
      </c>
      <c r="D180" s="7" t="s">
        <v>15</v>
      </c>
      <c r="E180" s="7" t="s">
        <v>16</v>
      </c>
      <c r="F180" s="7">
        <v>4</v>
      </c>
      <c r="G180" s="13">
        <v>26092</v>
      </c>
      <c r="H180" s="13">
        <v>28037</v>
      </c>
      <c r="I180" s="7" t="s">
        <v>19</v>
      </c>
      <c r="J180" s="14">
        <f t="shared" si="2"/>
        <v>104368</v>
      </c>
      <c r="K180" s="14">
        <f>Table2[[#This Row],[Revenue]]-Table2[[#This Row],[Expense]]</f>
        <v>76331</v>
      </c>
    </row>
    <row r="181" spans="1:11">
      <c r="A181" s="16" t="s">
        <v>204</v>
      </c>
      <c r="B181" s="10">
        <v>45478</v>
      </c>
      <c r="C181" s="10" t="str">
        <f>TEXT(Table2[[#This Row],[Date]],"mmm-yyyy")</f>
        <v>Jul-2024</v>
      </c>
      <c r="D181" s="7" t="s">
        <v>3</v>
      </c>
      <c r="E181" s="7" t="s">
        <v>27</v>
      </c>
      <c r="F181" s="7">
        <v>7</v>
      </c>
      <c r="G181" s="13">
        <v>30484</v>
      </c>
      <c r="H181" s="13">
        <v>33316</v>
      </c>
      <c r="I181" s="7" t="s">
        <v>19</v>
      </c>
      <c r="J181" s="14">
        <f t="shared" si="2"/>
        <v>213388</v>
      </c>
      <c r="K181" s="14">
        <f>Table2[[#This Row],[Revenue]]-Table2[[#This Row],[Expense]]</f>
        <v>180072</v>
      </c>
    </row>
    <row r="182" spans="1:11">
      <c r="A182" s="16" t="s">
        <v>205</v>
      </c>
      <c r="B182" s="10">
        <v>45478</v>
      </c>
      <c r="C182" s="10" t="str">
        <f>TEXT(Table2[[#This Row],[Date]],"mmm-yyyy")</f>
        <v>Jul-2024</v>
      </c>
      <c r="D182" s="7" t="s">
        <v>3</v>
      </c>
      <c r="E182" s="7" t="s">
        <v>16</v>
      </c>
      <c r="F182" s="7">
        <v>9</v>
      </c>
      <c r="G182" s="13">
        <v>25532</v>
      </c>
      <c r="H182" s="13">
        <v>10283</v>
      </c>
      <c r="I182" s="7" t="s">
        <v>36</v>
      </c>
      <c r="J182" s="14">
        <f t="shared" si="2"/>
        <v>229788</v>
      </c>
      <c r="K182" s="14">
        <f>Table2[[#This Row],[Revenue]]-Table2[[#This Row],[Expense]]</f>
        <v>219505</v>
      </c>
    </row>
    <row r="183" spans="1:11">
      <c r="A183" s="16" t="s">
        <v>206</v>
      </c>
      <c r="B183" s="10">
        <v>45479</v>
      </c>
      <c r="C183" s="10" t="str">
        <f>TEXT(Table2[[#This Row],[Date]],"mmm-yyyy")</f>
        <v>Jul-2024</v>
      </c>
      <c r="D183" s="7" t="s">
        <v>4</v>
      </c>
      <c r="E183" s="7" t="s">
        <v>16</v>
      </c>
      <c r="F183" s="7">
        <v>3</v>
      </c>
      <c r="G183" s="13">
        <v>28223</v>
      </c>
      <c r="H183" s="13">
        <v>45522</v>
      </c>
      <c r="I183" s="7" t="s">
        <v>36</v>
      </c>
      <c r="J183" s="14">
        <f t="shared" si="2"/>
        <v>84669</v>
      </c>
      <c r="K183" s="14">
        <f>Table2[[#This Row],[Revenue]]-Table2[[#This Row],[Expense]]</f>
        <v>39147</v>
      </c>
    </row>
    <row r="184" spans="1:11">
      <c r="A184" s="16" t="s">
        <v>207</v>
      </c>
      <c r="B184" s="10">
        <v>45479</v>
      </c>
      <c r="C184" s="10" t="str">
        <f>TEXT(Table2[[#This Row],[Date]],"mmm-yyyy")</f>
        <v>Jul-2024</v>
      </c>
      <c r="D184" s="7" t="s">
        <v>4</v>
      </c>
      <c r="E184" s="7" t="s">
        <v>22</v>
      </c>
      <c r="F184" s="7">
        <v>6</v>
      </c>
      <c r="G184" s="13">
        <v>65929</v>
      </c>
      <c r="H184" s="13">
        <v>14428</v>
      </c>
      <c r="I184" s="7" t="s">
        <v>19</v>
      </c>
      <c r="J184" s="14">
        <f t="shared" si="2"/>
        <v>395574</v>
      </c>
      <c r="K184" s="14">
        <f>Table2[[#This Row],[Revenue]]-Table2[[#This Row],[Expense]]</f>
        <v>381146</v>
      </c>
    </row>
    <row r="185" spans="1:11">
      <c r="A185" s="16" t="s">
        <v>208</v>
      </c>
      <c r="B185" s="10">
        <v>45479</v>
      </c>
      <c r="C185" s="10" t="str">
        <f>TEXT(Table2[[#This Row],[Date]],"mmm-yyyy")</f>
        <v>Jul-2024</v>
      </c>
      <c r="D185" s="7" t="s">
        <v>1</v>
      </c>
      <c r="E185" s="7" t="s">
        <v>16</v>
      </c>
      <c r="F185" s="7">
        <v>2</v>
      </c>
      <c r="G185" s="13">
        <v>70619</v>
      </c>
      <c r="H185" s="13">
        <v>10127</v>
      </c>
      <c r="I185" s="7" t="s">
        <v>19</v>
      </c>
      <c r="J185" s="14">
        <f t="shared" si="2"/>
        <v>141238</v>
      </c>
      <c r="K185" s="14">
        <f>Table2[[#This Row],[Revenue]]-Table2[[#This Row],[Expense]]</f>
        <v>131111</v>
      </c>
    </row>
    <row r="186" spans="1:11">
      <c r="A186" s="16" t="s">
        <v>209</v>
      </c>
      <c r="B186" s="10">
        <v>45480</v>
      </c>
      <c r="C186" s="10" t="str">
        <f>TEXT(Table2[[#This Row],[Date]],"mmm-yyyy")</f>
        <v>Jul-2024</v>
      </c>
      <c r="D186" s="7" t="s">
        <v>15</v>
      </c>
      <c r="E186" s="7" t="s">
        <v>16</v>
      </c>
      <c r="F186" s="7">
        <v>3</v>
      </c>
      <c r="G186" s="13">
        <v>66338</v>
      </c>
      <c r="H186" s="13">
        <v>14057</v>
      </c>
      <c r="I186" s="7" t="s">
        <v>36</v>
      </c>
      <c r="J186" s="14">
        <f t="shared" si="2"/>
        <v>199014</v>
      </c>
      <c r="K186" s="14">
        <f>Table2[[#This Row],[Revenue]]-Table2[[#This Row],[Expense]]</f>
        <v>184957</v>
      </c>
    </row>
    <row r="187" spans="1:11">
      <c r="A187" s="16" t="s">
        <v>210</v>
      </c>
      <c r="B187" s="10">
        <v>45481</v>
      </c>
      <c r="C187" s="10" t="str">
        <f>TEXT(Table2[[#This Row],[Date]],"mmm-yyyy")</f>
        <v>Jul-2024</v>
      </c>
      <c r="D187" s="7" t="s">
        <v>26</v>
      </c>
      <c r="E187" s="7" t="s">
        <v>32</v>
      </c>
      <c r="F187" s="7">
        <v>1</v>
      </c>
      <c r="G187" s="13">
        <v>36143</v>
      </c>
      <c r="H187" s="13">
        <v>35196</v>
      </c>
      <c r="I187" s="7" t="s">
        <v>17</v>
      </c>
      <c r="J187" s="14">
        <f t="shared" si="2"/>
        <v>36143</v>
      </c>
      <c r="K187" s="14">
        <f>Table2[[#This Row],[Revenue]]-Table2[[#This Row],[Expense]]</f>
        <v>947</v>
      </c>
    </row>
    <row r="188" spans="1:11">
      <c r="A188" s="16" t="s">
        <v>211</v>
      </c>
      <c r="B188" s="10">
        <v>45481</v>
      </c>
      <c r="C188" s="10" t="str">
        <f>TEXT(Table2[[#This Row],[Date]],"mmm-yyyy")</f>
        <v>Jul-2024</v>
      </c>
      <c r="D188" s="7" t="s">
        <v>1</v>
      </c>
      <c r="E188" s="7" t="s">
        <v>27</v>
      </c>
      <c r="F188" s="7">
        <v>6</v>
      </c>
      <c r="G188" s="13">
        <v>19243</v>
      </c>
      <c r="H188" s="13">
        <v>17029</v>
      </c>
      <c r="I188" s="7" t="s">
        <v>36</v>
      </c>
      <c r="J188" s="14">
        <f t="shared" si="2"/>
        <v>115458</v>
      </c>
      <c r="K188" s="14">
        <f>Table2[[#This Row],[Revenue]]-Table2[[#This Row],[Expense]]</f>
        <v>98429</v>
      </c>
    </row>
    <row r="189" spans="1:11">
      <c r="A189" s="16" t="s">
        <v>212</v>
      </c>
      <c r="B189" s="10">
        <v>45481</v>
      </c>
      <c r="C189" s="10" t="str">
        <f>TEXT(Table2[[#This Row],[Date]],"mmm-yyyy")</f>
        <v>Jul-2024</v>
      </c>
      <c r="D189" s="7" t="s">
        <v>2</v>
      </c>
      <c r="E189" s="7" t="s">
        <v>22</v>
      </c>
      <c r="F189" s="7">
        <v>2</v>
      </c>
      <c r="G189" s="13">
        <v>10215</v>
      </c>
      <c r="H189" s="13">
        <v>39328</v>
      </c>
      <c r="I189" s="7" t="s">
        <v>36</v>
      </c>
      <c r="J189" s="14">
        <f t="shared" si="2"/>
        <v>20430</v>
      </c>
      <c r="K189" s="14">
        <f>Table2[[#This Row],[Revenue]]-Table2[[#This Row],[Expense]]</f>
        <v>-18898</v>
      </c>
    </row>
    <row r="190" spans="1:11">
      <c r="A190" s="16" t="s">
        <v>213</v>
      </c>
      <c r="B190" s="10">
        <v>45482</v>
      </c>
      <c r="C190" s="10" t="str">
        <f>TEXT(Table2[[#This Row],[Date]],"mmm-yyyy")</f>
        <v>Jul-2024</v>
      </c>
      <c r="D190" s="7" t="s">
        <v>2</v>
      </c>
      <c r="E190" s="7" t="s">
        <v>24</v>
      </c>
      <c r="F190" s="7">
        <v>9</v>
      </c>
      <c r="G190" s="13">
        <v>43152</v>
      </c>
      <c r="H190" s="13">
        <v>28766</v>
      </c>
      <c r="I190" s="7" t="s">
        <v>36</v>
      </c>
      <c r="J190" s="14">
        <f t="shared" si="2"/>
        <v>388368</v>
      </c>
      <c r="K190" s="14">
        <f>Table2[[#This Row],[Revenue]]-Table2[[#This Row],[Expense]]</f>
        <v>359602</v>
      </c>
    </row>
    <row r="191" spans="1:11">
      <c r="A191" s="16" t="s">
        <v>214</v>
      </c>
      <c r="B191" s="10">
        <v>45482</v>
      </c>
      <c r="C191" s="10" t="str">
        <f>TEXT(Table2[[#This Row],[Date]],"mmm-yyyy")</f>
        <v>Jul-2024</v>
      </c>
      <c r="D191" s="7" t="s">
        <v>15</v>
      </c>
      <c r="E191" s="7" t="s">
        <v>32</v>
      </c>
      <c r="F191" s="7">
        <v>9</v>
      </c>
      <c r="G191" s="13">
        <v>55919</v>
      </c>
      <c r="H191" s="13">
        <v>2958</v>
      </c>
      <c r="I191" s="7" t="s">
        <v>19</v>
      </c>
      <c r="J191" s="14">
        <f t="shared" si="2"/>
        <v>503271</v>
      </c>
      <c r="K191" s="14">
        <f>Table2[[#This Row],[Revenue]]-Table2[[#This Row],[Expense]]</f>
        <v>500313</v>
      </c>
    </row>
    <row r="192" spans="1:11">
      <c r="A192" s="16" t="s">
        <v>215</v>
      </c>
      <c r="B192" s="10">
        <v>45483</v>
      </c>
      <c r="C192" s="10" t="str">
        <f>TEXT(Table2[[#This Row],[Date]],"mmm-yyyy")</f>
        <v>Jul-2024</v>
      </c>
      <c r="D192" s="7" t="s">
        <v>1</v>
      </c>
      <c r="E192" s="7" t="s">
        <v>22</v>
      </c>
      <c r="F192" s="7">
        <v>1</v>
      </c>
      <c r="G192" s="13">
        <v>66524</v>
      </c>
      <c r="H192" s="13">
        <v>40019</v>
      </c>
      <c r="I192" s="7" t="s">
        <v>19</v>
      </c>
      <c r="J192" s="14">
        <f t="shared" si="2"/>
        <v>66524</v>
      </c>
      <c r="K192" s="14">
        <f>Table2[[#This Row],[Revenue]]-Table2[[#This Row],[Expense]]</f>
        <v>26505</v>
      </c>
    </row>
    <row r="193" spans="1:11">
      <c r="A193" s="16" t="s">
        <v>216</v>
      </c>
      <c r="B193" s="10">
        <v>45483</v>
      </c>
      <c r="C193" s="10" t="str">
        <f>TEXT(Table2[[#This Row],[Date]],"mmm-yyyy")</f>
        <v>Jul-2024</v>
      </c>
      <c r="D193" s="7" t="s">
        <v>3</v>
      </c>
      <c r="E193" s="7" t="s">
        <v>32</v>
      </c>
      <c r="F193" s="7">
        <v>8</v>
      </c>
      <c r="G193" s="13">
        <v>62058</v>
      </c>
      <c r="H193" s="13">
        <v>14230</v>
      </c>
      <c r="I193" s="7" t="s">
        <v>30</v>
      </c>
      <c r="J193" s="14">
        <f t="shared" si="2"/>
        <v>496464</v>
      </c>
      <c r="K193" s="14">
        <f>Table2[[#This Row],[Revenue]]-Table2[[#This Row],[Expense]]</f>
        <v>482234</v>
      </c>
    </row>
    <row r="194" spans="1:11">
      <c r="A194" s="16" t="s">
        <v>217</v>
      </c>
      <c r="B194" s="10">
        <v>45485</v>
      </c>
      <c r="C194" s="10" t="str">
        <f>TEXT(Table2[[#This Row],[Date]],"mmm-yyyy")</f>
        <v>Jul-2024</v>
      </c>
      <c r="D194" s="7" t="s">
        <v>26</v>
      </c>
      <c r="E194" s="7" t="s">
        <v>27</v>
      </c>
      <c r="F194" s="7">
        <v>3</v>
      </c>
      <c r="G194" s="13">
        <v>20781</v>
      </c>
      <c r="H194" s="13">
        <v>32852</v>
      </c>
      <c r="I194" s="7" t="s">
        <v>17</v>
      </c>
      <c r="J194" s="14">
        <f t="shared" ref="J194:J257" si="3">G194*F194</f>
        <v>62343</v>
      </c>
      <c r="K194" s="14">
        <f>Table2[[#This Row],[Revenue]]-Table2[[#This Row],[Expense]]</f>
        <v>29491</v>
      </c>
    </row>
    <row r="195" spans="1:11">
      <c r="A195" s="16" t="s">
        <v>218</v>
      </c>
      <c r="B195" s="10">
        <v>45486</v>
      </c>
      <c r="C195" s="10" t="str">
        <f>TEXT(Table2[[#This Row],[Date]],"mmm-yyyy")</f>
        <v>Jul-2024</v>
      </c>
      <c r="D195" s="7" t="s">
        <v>2</v>
      </c>
      <c r="E195" s="7" t="s">
        <v>32</v>
      </c>
      <c r="F195" s="7">
        <v>7</v>
      </c>
      <c r="G195" s="13">
        <v>61420</v>
      </c>
      <c r="H195" s="13">
        <v>24172</v>
      </c>
      <c r="I195" s="7" t="s">
        <v>19</v>
      </c>
      <c r="J195" s="14">
        <f t="shared" si="3"/>
        <v>429940</v>
      </c>
      <c r="K195" s="14">
        <f>Table2[[#This Row],[Revenue]]-Table2[[#This Row],[Expense]]</f>
        <v>405768</v>
      </c>
    </row>
    <row r="196" spans="1:11">
      <c r="A196" s="16" t="s">
        <v>219</v>
      </c>
      <c r="B196" s="10">
        <v>45489</v>
      </c>
      <c r="C196" s="10" t="str">
        <f>TEXT(Table2[[#This Row],[Date]],"mmm-yyyy")</f>
        <v>Jul-2024</v>
      </c>
      <c r="D196" s="7" t="s">
        <v>4</v>
      </c>
      <c r="E196" s="7" t="s">
        <v>22</v>
      </c>
      <c r="F196" s="7">
        <v>3</v>
      </c>
      <c r="G196" s="13">
        <v>65477</v>
      </c>
      <c r="H196" s="13">
        <v>12918</v>
      </c>
      <c r="I196" s="7" t="s">
        <v>30</v>
      </c>
      <c r="J196" s="14">
        <f t="shared" si="3"/>
        <v>196431</v>
      </c>
      <c r="K196" s="14">
        <f>Table2[[#This Row],[Revenue]]-Table2[[#This Row],[Expense]]</f>
        <v>183513</v>
      </c>
    </row>
    <row r="197" spans="1:11">
      <c r="A197" s="16" t="s">
        <v>220</v>
      </c>
      <c r="B197" s="10">
        <v>45489</v>
      </c>
      <c r="C197" s="10" t="str">
        <f>TEXT(Table2[[#This Row],[Date]],"mmm-yyyy")</f>
        <v>Jul-2024</v>
      </c>
      <c r="D197" s="7" t="s">
        <v>26</v>
      </c>
      <c r="E197" s="7" t="s">
        <v>27</v>
      </c>
      <c r="F197" s="7">
        <v>2</v>
      </c>
      <c r="G197" s="13">
        <v>47159</v>
      </c>
      <c r="H197" s="13">
        <v>47136</v>
      </c>
      <c r="I197" s="7" t="s">
        <v>19</v>
      </c>
      <c r="J197" s="14">
        <f t="shared" si="3"/>
        <v>94318</v>
      </c>
      <c r="K197" s="14">
        <f>Table2[[#This Row],[Revenue]]-Table2[[#This Row],[Expense]]</f>
        <v>47182</v>
      </c>
    </row>
    <row r="198" spans="1:11">
      <c r="A198" s="16" t="s">
        <v>221</v>
      </c>
      <c r="B198" s="10">
        <v>45489</v>
      </c>
      <c r="C198" s="10" t="str">
        <f>TEXT(Table2[[#This Row],[Date]],"mmm-yyyy")</f>
        <v>Jul-2024</v>
      </c>
      <c r="D198" s="7" t="s">
        <v>3</v>
      </c>
      <c r="E198" s="7" t="s">
        <v>27</v>
      </c>
      <c r="F198" s="7">
        <v>4</v>
      </c>
      <c r="G198" s="13">
        <v>72646</v>
      </c>
      <c r="H198" s="13">
        <v>2727</v>
      </c>
      <c r="I198" s="7" t="s">
        <v>30</v>
      </c>
      <c r="J198" s="14">
        <f t="shared" si="3"/>
        <v>290584</v>
      </c>
      <c r="K198" s="14">
        <f>Table2[[#This Row],[Revenue]]-Table2[[#This Row],[Expense]]</f>
        <v>287857</v>
      </c>
    </row>
    <row r="199" spans="1:11">
      <c r="A199" s="16" t="s">
        <v>222</v>
      </c>
      <c r="B199" s="10">
        <v>45490</v>
      </c>
      <c r="C199" s="10" t="str">
        <f>TEXT(Table2[[#This Row],[Date]],"mmm-yyyy")</f>
        <v>Jul-2024</v>
      </c>
      <c r="D199" s="7" t="s">
        <v>1</v>
      </c>
      <c r="E199" s="7" t="s">
        <v>27</v>
      </c>
      <c r="F199" s="7">
        <v>9</v>
      </c>
      <c r="G199" s="13">
        <v>23812</v>
      </c>
      <c r="H199" s="13">
        <v>40961</v>
      </c>
      <c r="I199" s="7" t="s">
        <v>36</v>
      </c>
      <c r="J199" s="14">
        <f t="shared" si="3"/>
        <v>214308</v>
      </c>
      <c r="K199" s="14">
        <f>Table2[[#This Row],[Revenue]]-Table2[[#This Row],[Expense]]</f>
        <v>173347</v>
      </c>
    </row>
    <row r="200" spans="1:11">
      <c r="A200" s="16" t="s">
        <v>223</v>
      </c>
      <c r="B200" s="10">
        <v>45492</v>
      </c>
      <c r="C200" s="10" t="str">
        <f>TEXT(Table2[[#This Row],[Date]],"mmm-yyyy")</f>
        <v>Jul-2024</v>
      </c>
      <c r="D200" s="7" t="s">
        <v>15</v>
      </c>
      <c r="E200" s="7" t="s">
        <v>27</v>
      </c>
      <c r="F200" s="7">
        <v>5</v>
      </c>
      <c r="G200" s="13">
        <v>58493</v>
      </c>
      <c r="H200" s="13">
        <v>15472</v>
      </c>
      <c r="I200" s="7" t="s">
        <v>30</v>
      </c>
      <c r="J200" s="14">
        <f t="shared" si="3"/>
        <v>292465</v>
      </c>
      <c r="K200" s="14">
        <f>Table2[[#This Row],[Revenue]]-Table2[[#This Row],[Expense]]</f>
        <v>276993</v>
      </c>
    </row>
    <row r="201" spans="1:11">
      <c r="A201" s="16" t="s">
        <v>224</v>
      </c>
      <c r="B201" s="10">
        <v>45492</v>
      </c>
      <c r="C201" s="10" t="str">
        <f>TEXT(Table2[[#This Row],[Date]],"mmm-yyyy")</f>
        <v>Jul-2024</v>
      </c>
      <c r="D201" s="7" t="s">
        <v>3</v>
      </c>
      <c r="E201" s="7" t="s">
        <v>16</v>
      </c>
      <c r="F201" s="7">
        <v>1</v>
      </c>
      <c r="G201" s="13">
        <v>50341</v>
      </c>
      <c r="H201" s="13">
        <v>13819</v>
      </c>
      <c r="I201" s="7" t="s">
        <v>19</v>
      </c>
      <c r="J201" s="14">
        <f t="shared" si="3"/>
        <v>50341</v>
      </c>
      <c r="K201" s="14">
        <f>Table2[[#This Row],[Revenue]]-Table2[[#This Row],[Expense]]</f>
        <v>36522</v>
      </c>
    </row>
    <row r="202" spans="1:11">
      <c r="A202" s="16" t="s">
        <v>225</v>
      </c>
      <c r="B202" s="10">
        <v>45493</v>
      </c>
      <c r="C202" s="10" t="str">
        <f>TEXT(Table2[[#This Row],[Date]],"mmm-yyyy")</f>
        <v>Jul-2024</v>
      </c>
      <c r="D202" s="7" t="s">
        <v>2</v>
      </c>
      <c r="E202" s="7" t="s">
        <v>24</v>
      </c>
      <c r="F202" s="7">
        <v>6</v>
      </c>
      <c r="G202" s="13">
        <v>64657</v>
      </c>
      <c r="H202" s="13">
        <v>4586</v>
      </c>
      <c r="I202" s="7" t="s">
        <v>30</v>
      </c>
      <c r="J202" s="14">
        <f t="shared" si="3"/>
        <v>387942</v>
      </c>
      <c r="K202" s="14">
        <f>Table2[[#This Row],[Revenue]]-Table2[[#This Row],[Expense]]</f>
        <v>383356</v>
      </c>
    </row>
    <row r="203" spans="1:11">
      <c r="A203" s="16" t="s">
        <v>226</v>
      </c>
      <c r="B203" s="10">
        <v>45494</v>
      </c>
      <c r="C203" s="10" t="str">
        <f>TEXT(Table2[[#This Row],[Date]],"mmm-yyyy")</f>
        <v>Jul-2024</v>
      </c>
      <c r="D203" s="7" t="s">
        <v>3</v>
      </c>
      <c r="E203" s="7" t="s">
        <v>27</v>
      </c>
      <c r="F203" s="7">
        <v>9</v>
      </c>
      <c r="G203" s="13">
        <v>74770</v>
      </c>
      <c r="H203" s="13">
        <v>13722</v>
      </c>
      <c r="I203" s="7" t="s">
        <v>30</v>
      </c>
      <c r="J203" s="14">
        <f t="shared" si="3"/>
        <v>672930</v>
      </c>
      <c r="K203" s="14">
        <f>Table2[[#This Row],[Revenue]]-Table2[[#This Row],[Expense]]</f>
        <v>659208</v>
      </c>
    </row>
    <row r="204" spans="1:11">
      <c r="A204" s="16" t="s">
        <v>227</v>
      </c>
      <c r="B204" s="10">
        <v>45497</v>
      </c>
      <c r="C204" s="10" t="str">
        <f>TEXT(Table2[[#This Row],[Date]],"mmm-yyyy")</f>
        <v>Jul-2024</v>
      </c>
      <c r="D204" s="7" t="s">
        <v>4</v>
      </c>
      <c r="E204" s="7" t="s">
        <v>32</v>
      </c>
      <c r="F204" s="7">
        <v>1</v>
      </c>
      <c r="G204" s="13">
        <v>56588</v>
      </c>
      <c r="H204" s="13">
        <v>2013</v>
      </c>
      <c r="I204" s="7" t="s">
        <v>30</v>
      </c>
      <c r="J204" s="14">
        <f t="shared" si="3"/>
        <v>56588</v>
      </c>
      <c r="K204" s="14">
        <f>Table2[[#This Row],[Revenue]]-Table2[[#This Row],[Expense]]</f>
        <v>54575</v>
      </c>
    </row>
    <row r="205" spans="1:11">
      <c r="A205" s="16" t="s">
        <v>228</v>
      </c>
      <c r="B205" s="10">
        <v>45498</v>
      </c>
      <c r="C205" s="10" t="str">
        <f>TEXT(Table2[[#This Row],[Date]],"mmm-yyyy")</f>
        <v>Jul-2024</v>
      </c>
      <c r="D205" s="7" t="s">
        <v>2</v>
      </c>
      <c r="E205" s="7" t="s">
        <v>24</v>
      </c>
      <c r="F205" s="7">
        <v>7</v>
      </c>
      <c r="G205" s="13">
        <v>72740</v>
      </c>
      <c r="H205" s="13">
        <v>49709</v>
      </c>
      <c r="I205" s="7" t="s">
        <v>19</v>
      </c>
      <c r="J205" s="14">
        <f t="shared" si="3"/>
        <v>509180</v>
      </c>
      <c r="K205" s="14">
        <f>Table2[[#This Row],[Revenue]]-Table2[[#This Row],[Expense]]</f>
        <v>459471</v>
      </c>
    </row>
    <row r="206" spans="1:11">
      <c r="A206" s="16" t="s">
        <v>229</v>
      </c>
      <c r="B206" s="10">
        <v>45499</v>
      </c>
      <c r="C206" s="10" t="str">
        <f>TEXT(Table2[[#This Row],[Date]],"mmm-yyyy")</f>
        <v>Jul-2024</v>
      </c>
      <c r="D206" s="7" t="s">
        <v>4</v>
      </c>
      <c r="E206" s="7" t="s">
        <v>27</v>
      </c>
      <c r="F206" s="7">
        <v>2</v>
      </c>
      <c r="G206" s="13">
        <v>6941</v>
      </c>
      <c r="H206" s="13">
        <v>44922</v>
      </c>
      <c r="I206" s="7" t="s">
        <v>30</v>
      </c>
      <c r="J206" s="14">
        <f t="shared" si="3"/>
        <v>13882</v>
      </c>
      <c r="K206" s="14">
        <f>Table2[[#This Row],[Revenue]]-Table2[[#This Row],[Expense]]</f>
        <v>-31040</v>
      </c>
    </row>
    <row r="207" spans="1:11">
      <c r="A207" s="16" t="s">
        <v>230</v>
      </c>
      <c r="B207" s="10">
        <v>45499</v>
      </c>
      <c r="C207" s="10" t="str">
        <f>TEXT(Table2[[#This Row],[Date]],"mmm-yyyy")</f>
        <v>Jul-2024</v>
      </c>
      <c r="D207" s="7" t="s">
        <v>2</v>
      </c>
      <c r="E207" s="7" t="s">
        <v>22</v>
      </c>
      <c r="F207" s="7">
        <v>6</v>
      </c>
      <c r="G207" s="13">
        <v>11134</v>
      </c>
      <c r="H207" s="13">
        <v>20206</v>
      </c>
      <c r="I207" s="7" t="s">
        <v>30</v>
      </c>
      <c r="J207" s="14">
        <f t="shared" si="3"/>
        <v>66804</v>
      </c>
      <c r="K207" s="14">
        <f>Table2[[#This Row],[Revenue]]-Table2[[#This Row],[Expense]]</f>
        <v>46598</v>
      </c>
    </row>
    <row r="208" spans="1:11">
      <c r="A208" s="16" t="s">
        <v>231</v>
      </c>
      <c r="B208" s="10">
        <v>45499</v>
      </c>
      <c r="C208" s="10" t="str">
        <f>TEXT(Table2[[#This Row],[Date]],"mmm-yyyy")</f>
        <v>Jul-2024</v>
      </c>
      <c r="D208" s="7" t="s">
        <v>15</v>
      </c>
      <c r="E208" s="7" t="s">
        <v>32</v>
      </c>
      <c r="F208" s="7">
        <v>5</v>
      </c>
      <c r="G208" s="13">
        <v>29102</v>
      </c>
      <c r="H208" s="13">
        <v>34691</v>
      </c>
      <c r="I208" s="7" t="s">
        <v>30</v>
      </c>
      <c r="J208" s="14">
        <f t="shared" si="3"/>
        <v>145510</v>
      </c>
      <c r="K208" s="14">
        <f>Table2[[#This Row],[Revenue]]-Table2[[#This Row],[Expense]]</f>
        <v>110819</v>
      </c>
    </row>
    <row r="209" spans="1:11">
      <c r="A209" s="16" t="s">
        <v>232</v>
      </c>
      <c r="B209" s="10">
        <v>45504</v>
      </c>
      <c r="C209" s="10" t="str">
        <f>TEXT(Table2[[#This Row],[Date]],"mmm-yyyy")</f>
        <v>Jul-2024</v>
      </c>
      <c r="D209" s="7" t="s">
        <v>1</v>
      </c>
      <c r="E209" s="7" t="s">
        <v>16</v>
      </c>
      <c r="F209" s="7">
        <v>3</v>
      </c>
      <c r="G209" s="13">
        <v>74672</v>
      </c>
      <c r="H209" s="13">
        <v>29731</v>
      </c>
      <c r="I209" s="7" t="s">
        <v>19</v>
      </c>
      <c r="J209" s="14">
        <f t="shared" si="3"/>
        <v>224016</v>
      </c>
      <c r="K209" s="14">
        <f>Table2[[#This Row],[Revenue]]-Table2[[#This Row],[Expense]]</f>
        <v>194285</v>
      </c>
    </row>
    <row r="210" spans="1:11">
      <c r="A210" s="16" t="s">
        <v>233</v>
      </c>
      <c r="B210" s="10">
        <v>45505</v>
      </c>
      <c r="C210" s="10" t="str">
        <f>TEXT(Table2[[#This Row],[Date]],"mmm-yyyy")</f>
        <v>Aug-2024</v>
      </c>
      <c r="D210" s="7" t="s">
        <v>26</v>
      </c>
      <c r="E210" s="7" t="s">
        <v>27</v>
      </c>
      <c r="F210" s="7">
        <v>3</v>
      </c>
      <c r="G210" s="13">
        <v>52001</v>
      </c>
      <c r="H210" s="13">
        <v>36525</v>
      </c>
      <c r="I210" s="7" t="s">
        <v>17</v>
      </c>
      <c r="J210" s="14">
        <f t="shared" si="3"/>
        <v>156003</v>
      </c>
      <c r="K210" s="14">
        <f>Table2[[#This Row],[Revenue]]-Table2[[#This Row],[Expense]]</f>
        <v>119478</v>
      </c>
    </row>
    <row r="211" spans="1:11">
      <c r="A211" s="16" t="s">
        <v>234</v>
      </c>
      <c r="B211" s="10">
        <v>45506</v>
      </c>
      <c r="C211" s="10" t="str">
        <f>TEXT(Table2[[#This Row],[Date]],"mmm-yyyy")</f>
        <v>Aug-2024</v>
      </c>
      <c r="D211" s="7" t="s">
        <v>4</v>
      </c>
      <c r="E211" s="7" t="s">
        <v>22</v>
      </c>
      <c r="F211" s="7">
        <v>7</v>
      </c>
      <c r="G211" s="13">
        <v>31159</v>
      </c>
      <c r="H211" s="13">
        <v>27062</v>
      </c>
      <c r="I211" s="7" t="s">
        <v>30</v>
      </c>
      <c r="J211" s="14">
        <f t="shared" si="3"/>
        <v>218113</v>
      </c>
      <c r="K211" s="14">
        <f>Table2[[#This Row],[Revenue]]-Table2[[#This Row],[Expense]]</f>
        <v>191051</v>
      </c>
    </row>
    <row r="212" spans="1:11">
      <c r="A212" s="16" t="s">
        <v>235</v>
      </c>
      <c r="B212" s="10">
        <v>45506</v>
      </c>
      <c r="C212" s="10" t="str">
        <f>TEXT(Table2[[#This Row],[Date]],"mmm-yyyy")</f>
        <v>Aug-2024</v>
      </c>
      <c r="D212" s="7" t="s">
        <v>3</v>
      </c>
      <c r="E212" s="7" t="s">
        <v>32</v>
      </c>
      <c r="F212" s="7">
        <v>8</v>
      </c>
      <c r="G212" s="13">
        <v>64146</v>
      </c>
      <c r="H212" s="13">
        <v>44543</v>
      </c>
      <c r="I212" s="7" t="s">
        <v>30</v>
      </c>
      <c r="J212" s="14">
        <f t="shared" si="3"/>
        <v>513168</v>
      </c>
      <c r="K212" s="14">
        <f>Table2[[#This Row],[Revenue]]-Table2[[#This Row],[Expense]]</f>
        <v>468625</v>
      </c>
    </row>
    <row r="213" spans="1:11">
      <c r="A213" s="16" t="s">
        <v>236</v>
      </c>
      <c r="B213" s="10">
        <v>45507</v>
      </c>
      <c r="C213" s="10" t="str">
        <f>TEXT(Table2[[#This Row],[Date]],"mmm-yyyy")</f>
        <v>Aug-2024</v>
      </c>
      <c r="D213" s="7" t="s">
        <v>3</v>
      </c>
      <c r="E213" s="7" t="s">
        <v>27</v>
      </c>
      <c r="F213" s="7">
        <v>5</v>
      </c>
      <c r="G213" s="13">
        <v>32617</v>
      </c>
      <c r="H213" s="13">
        <v>47698</v>
      </c>
      <c r="I213" s="7" t="s">
        <v>30</v>
      </c>
      <c r="J213" s="14">
        <f t="shared" si="3"/>
        <v>163085</v>
      </c>
      <c r="K213" s="14">
        <f>Table2[[#This Row],[Revenue]]-Table2[[#This Row],[Expense]]</f>
        <v>115387</v>
      </c>
    </row>
    <row r="214" spans="1:11">
      <c r="A214" s="16" t="s">
        <v>237</v>
      </c>
      <c r="B214" s="10">
        <v>45508</v>
      </c>
      <c r="C214" s="10" t="str">
        <f>TEXT(Table2[[#This Row],[Date]],"mmm-yyyy")</f>
        <v>Aug-2024</v>
      </c>
      <c r="D214" s="7" t="s">
        <v>2</v>
      </c>
      <c r="E214" s="7" t="s">
        <v>32</v>
      </c>
      <c r="F214" s="7">
        <v>5</v>
      </c>
      <c r="G214" s="13">
        <v>14173</v>
      </c>
      <c r="H214" s="13">
        <v>22817</v>
      </c>
      <c r="I214" s="7" t="s">
        <v>17</v>
      </c>
      <c r="J214" s="14">
        <f t="shared" si="3"/>
        <v>70865</v>
      </c>
      <c r="K214" s="14">
        <f>Table2[[#This Row],[Revenue]]-Table2[[#This Row],[Expense]]</f>
        <v>48048</v>
      </c>
    </row>
    <row r="215" spans="1:11">
      <c r="A215" s="16" t="s">
        <v>238</v>
      </c>
      <c r="B215" s="10">
        <v>45509</v>
      </c>
      <c r="C215" s="10" t="str">
        <f>TEXT(Table2[[#This Row],[Date]],"mmm-yyyy")</f>
        <v>Aug-2024</v>
      </c>
      <c r="D215" s="7" t="s">
        <v>1</v>
      </c>
      <c r="E215" s="7" t="s">
        <v>16</v>
      </c>
      <c r="F215" s="7">
        <v>4</v>
      </c>
      <c r="G215" s="13">
        <v>13967</v>
      </c>
      <c r="H215" s="13">
        <v>3563</v>
      </c>
      <c r="I215" s="7" t="s">
        <v>17</v>
      </c>
      <c r="J215" s="14">
        <f t="shared" si="3"/>
        <v>55868</v>
      </c>
      <c r="K215" s="14">
        <f>Table2[[#This Row],[Revenue]]-Table2[[#This Row],[Expense]]</f>
        <v>52305</v>
      </c>
    </row>
    <row r="216" spans="1:11">
      <c r="A216" s="16" t="s">
        <v>239</v>
      </c>
      <c r="B216" s="10">
        <v>45509</v>
      </c>
      <c r="C216" s="10" t="str">
        <f>TEXT(Table2[[#This Row],[Date]],"mmm-yyyy")</f>
        <v>Aug-2024</v>
      </c>
      <c r="D216" s="7" t="s">
        <v>1</v>
      </c>
      <c r="E216" s="7" t="s">
        <v>24</v>
      </c>
      <c r="F216" s="7">
        <v>1</v>
      </c>
      <c r="G216" s="13">
        <v>14710</v>
      </c>
      <c r="H216" s="13">
        <v>23436</v>
      </c>
      <c r="I216" s="7" t="s">
        <v>19</v>
      </c>
      <c r="J216" s="14">
        <f t="shared" si="3"/>
        <v>14710</v>
      </c>
      <c r="K216" s="14">
        <f>Table2[[#This Row],[Revenue]]-Table2[[#This Row],[Expense]]</f>
        <v>-8726</v>
      </c>
    </row>
    <row r="217" spans="1:11">
      <c r="A217" s="16" t="s">
        <v>240</v>
      </c>
      <c r="B217" s="10">
        <v>45509</v>
      </c>
      <c r="C217" s="10" t="str">
        <f>TEXT(Table2[[#This Row],[Date]],"mmm-yyyy")</f>
        <v>Aug-2024</v>
      </c>
      <c r="D217" s="7" t="s">
        <v>26</v>
      </c>
      <c r="E217" s="7" t="s">
        <v>22</v>
      </c>
      <c r="F217" s="7">
        <v>5</v>
      </c>
      <c r="G217" s="13">
        <v>17420</v>
      </c>
      <c r="H217" s="13">
        <v>18921</v>
      </c>
      <c r="I217" s="7" t="s">
        <v>17</v>
      </c>
      <c r="J217" s="14">
        <f t="shared" si="3"/>
        <v>87100</v>
      </c>
      <c r="K217" s="14">
        <f>Table2[[#This Row],[Revenue]]-Table2[[#This Row],[Expense]]</f>
        <v>68179</v>
      </c>
    </row>
    <row r="218" spans="1:11">
      <c r="A218" s="16" t="s">
        <v>241</v>
      </c>
      <c r="B218" s="10">
        <v>45511</v>
      </c>
      <c r="C218" s="10" t="str">
        <f>TEXT(Table2[[#This Row],[Date]],"mmm-yyyy")</f>
        <v>Aug-2024</v>
      </c>
      <c r="D218" s="7" t="s">
        <v>2</v>
      </c>
      <c r="E218" s="7" t="s">
        <v>16</v>
      </c>
      <c r="F218" s="7">
        <v>9</v>
      </c>
      <c r="G218" s="13">
        <v>31555</v>
      </c>
      <c r="H218" s="13">
        <v>24481</v>
      </c>
      <c r="I218" s="7" t="s">
        <v>36</v>
      </c>
      <c r="J218" s="14">
        <f t="shared" si="3"/>
        <v>283995</v>
      </c>
      <c r="K218" s="14">
        <f>Table2[[#This Row],[Revenue]]-Table2[[#This Row],[Expense]]</f>
        <v>259514</v>
      </c>
    </row>
    <row r="219" spans="1:11">
      <c r="A219" s="16" t="s">
        <v>242</v>
      </c>
      <c r="B219" s="10">
        <v>45511</v>
      </c>
      <c r="C219" s="10" t="str">
        <f>TEXT(Table2[[#This Row],[Date]],"mmm-yyyy")</f>
        <v>Aug-2024</v>
      </c>
      <c r="D219" s="7" t="s">
        <v>2</v>
      </c>
      <c r="E219" s="7" t="s">
        <v>27</v>
      </c>
      <c r="F219" s="7">
        <v>2</v>
      </c>
      <c r="G219" s="13">
        <v>35464</v>
      </c>
      <c r="H219" s="13">
        <v>40864</v>
      </c>
      <c r="I219" s="7" t="s">
        <v>36</v>
      </c>
      <c r="J219" s="14">
        <f t="shared" si="3"/>
        <v>70928</v>
      </c>
      <c r="K219" s="14">
        <f>Table2[[#This Row],[Revenue]]-Table2[[#This Row],[Expense]]</f>
        <v>30064</v>
      </c>
    </row>
    <row r="220" spans="1:11">
      <c r="A220" s="16" t="s">
        <v>243</v>
      </c>
      <c r="B220" s="10">
        <v>45513</v>
      </c>
      <c r="C220" s="10" t="str">
        <f>TEXT(Table2[[#This Row],[Date]],"mmm-yyyy")</f>
        <v>Aug-2024</v>
      </c>
      <c r="D220" s="7" t="s">
        <v>4</v>
      </c>
      <c r="E220" s="7" t="s">
        <v>27</v>
      </c>
      <c r="F220" s="7">
        <v>1</v>
      </c>
      <c r="G220" s="13">
        <v>5749</v>
      </c>
      <c r="H220" s="13">
        <v>8531</v>
      </c>
      <c r="I220" s="7" t="s">
        <v>19</v>
      </c>
      <c r="J220" s="14">
        <f t="shared" si="3"/>
        <v>5749</v>
      </c>
      <c r="K220" s="14">
        <f>Table2[[#This Row],[Revenue]]-Table2[[#This Row],[Expense]]</f>
        <v>-2782</v>
      </c>
    </row>
    <row r="221" spans="1:11">
      <c r="A221" s="16" t="s">
        <v>244</v>
      </c>
      <c r="B221" s="10">
        <v>45514</v>
      </c>
      <c r="C221" s="10" t="str">
        <f>TEXT(Table2[[#This Row],[Date]],"mmm-yyyy")</f>
        <v>Aug-2024</v>
      </c>
      <c r="D221" s="7" t="s">
        <v>15</v>
      </c>
      <c r="E221" s="7" t="s">
        <v>22</v>
      </c>
      <c r="F221" s="7">
        <v>7</v>
      </c>
      <c r="G221" s="13">
        <v>49258</v>
      </c>
      <c r="H221" s="13">
        <v>48246</v>
      </c>
      <c r="I221" s="7" t="s">
        <v>19</v>
      </c>
      <c r="J221" s="14">
        <f t="shared" si="3"/>
        <v>344806</v>
      </c>
      <c r="K221" s="14">
        <f>Table2[[#This Row],[Revenue]]-Table2[[#This Row],[Expense]]</f>
        <v>296560</v>
      </c>
    </row>
    <row r="222" spans="1:11">
      <c r="A222" s="16" t="s">
        <v>245</v>
      </c>
      <c r="B222" s="10">
        <v>45515</v>
      </c>
      <c r="C222" s="10" t="str">
        <f>TEXT(Table2[[#This Row],[Date]],"mmm-yyyy")</f>
        <v>Aug-2024</v>
      </c>
      <c r="D222" s="7" t="s">
        <v>1</v>
      </c>
      <c r="E222" s="7" t="s">
        <v>24</v>
      </c>
      <c r="F222" s="7">
        <v>6</v>
      </c>
      <c r="G222" s="13">
        <v>11638</v>
      </c>
      <c r="H222" s="13">
        <v>46232</v>
      </c>
      <c r="I222" s="7" t="s">
        <v>30</v>
      </c>
      <c r="J222" s="14">
        <f t="shared" si="3"/>
        <v>69828</v>
      </c>
      <c r="K222" s="14">
        <f>Table2[[#This Row],[Revenue]]-Table2[[#This Row],[Expense]]</f>
        <v>23596</v>
      </c>
    </row>
    <row r="223" spans="1:11">
      <c r="A223" s="16" t="s">
        <v>246</v>
      </c>
      <c r="B223" s="10">
        <v>45516</v>
      </c>
      <c r="C223" s="10" t="str">
        <f>TEXT(Table2[[#This Row],[Date]],"mmm-yyyy")</f>
        <v>Aug-2024</v>
      </c>
      <c r="D223" s="7" t="s">
        <v>26</v>
      </c>
      <c r="E223" s="7" t="s">
        <v>27</v>
      </c>
      <c r="F223" s="7">
        <v>2</v>
      </c>
      <c r="G223" s="13">
        <v>19669</v>
      </c>
      <c r="H223" s="13">
        <v>16892</v>
      </c>
      <c r="I223" s="7" t="s">
        <v>19</v>
      </c>
      <c r="J223" s="14">
        <f t="shared" si="3"/>
        <v>39338</v>
      </c>
      <c r="K223" s="14">
        <f>Table2[[#This Row],[Revenue]]-Table2[[#This Row],[Expense]]</f>
        <v>22446</v>
      </c>
    </row>
    <row r="224" spans="1:11">
      <c r="A224" s="16" t="s">
        <v>247</v>
      </c>
      <c r="B224" s="10">
        <v>45516</v>
      </c>
      <c r="C224" s="10" t="str">
        <f>TEXT(Table2[[#This Row],[Date]],"mmm-yyyy")</f>
        <v>Aug-2024</v>
      </c>
      <c r="D224" s="7" t="s">
        <v>2</v>
      </c>
      <c r="E224" s="7" t="s">
        <v>22</v>
      </c>
      <c r="F224" s="7">
        <v>6</v>
      </c>
      <c r="G224" s="13">
        <v>62429</v>
      </c>
      <c r="H224" s="13">
        <v>46951</v>
      </c>
      <c r="I224" s="7" t="s">
        <v>30</v>
      </c>
      <c r="J224" s="14">
        <f t="shared" si="3"/>
        <v>374574</v>
      </c>
      <c r="K224" s="14">
        <f>Table2[[#This Row],[Revenue]]-Table2[[#This Row],[Expense]]</f>
        <v>327623</v>
      </c>
    </row>
    <row r="225" spans="1:11">
      <c r="A225" s="16" t="s">
        <v>248</v>
      </c>
      <c r="B225" s="10">
        <v>45516</v>
      </c>
      <c r="C225" s="10" t="str">
        <f>TEXT(Table2[[#This Row],[Date]],"mmm-yyyy")</f>
        <v>Aug-2024</v>
      </c>
      <c r="D225" s="7" t="s">
        <v>26</v>
      </c>
      <c r="E225" s="7" t="s">
        <v>22</v>
      </c>
      <c r="F225" s="7">
        <v>5</v>
      </c>
      <c r="G225" s="13">
        <v>35798</v>
      </c>
      <c r="H225" s="13">
        <v>22008</v>
      </c>
      <c r="I225" s="7" t="s">
        <v>30</v>
      </c>
      <c r="J225" s="14">
        <f t="shared" si="3"/>
        <v>178990</v>
      </c>
      <c r="K225" s="14">
        <f>Table2[[#This Row],[Revenue]]-Table2[[#This Row],[Expense]]</f>
        <v>156982</v>
      </c>
    </row>
    <row r="226" spans="1:11">
      <c r="A226" s="16" t="s">
        <v>249</v>
      </c>
      <c r="B226" s="10">
        <v>45517</v>
      </c>
      <c r="C226" s="10" t="str">
        <f>TEXT(Table2[[#This Row],[Date]],"mmm-yyyy")</f>
        <v>Aug-2024</v>
      </c>
      <c r="D226" s="7" t="s">
        <v>4</v>
      </c>
      <c r="E226" s="7" t="s">
        <v>24</v>
      </c>
      <c r="F226" s="7">
        <v>1</v>
      </c>
      <c r="G226" s="13">
        <v>79315</v>
      </c>
      <c r="H226" s="13">
        <v>1587</v>
      </c>
      <c r="I226" s="7" t="s">
        <v>17</v>
      </c>
      <c r="J226" s="14">
        <f t="shared" si="3"/>
        <v>79315</v>
      </c>
      <c r="K226" s="14">
        <f>Table2[[#This Row],[Revenue]]-Table2[[#This Row],[Expense]]</f>
        <v>77728</v>
      </c>
    </row>
    <row r="227" spans="1:11">
      <c r="A227" s="16" t="s">
        <v>250</v>
      </c>
      <c r="B227" s="10">
        <v>45518</v>
      </c>
      <c r="C227" s="10" t="str">
        <f>TEXT(Table2[[#This Row],[Date]],"mmm-yyyy")</f>
        <v>Aug-2024</v>
      </c>
      <c r="D227" s="7" t="s">
        <v>4</v>
      </c>
      <c r="E227" s="7" t="s">
        <v>27</v>
      </c>
      <c r="F227" s="7">
        <v>2</v>
      </c>
      <c r="G227" s="13">
        <v>34393</v>
      </c>
      <c r="H227" s="13">
        <v>24284</v>
      </c>
      <c r="I227" s="7" t="s">
        <v>17</v>
      </c>
      <c r="J227" s="14">
        <f t="shared" si="3"/>
        <v>68786</v>
      </c>
      <c r="K227" s="14">
        <f>Table2[[#This Row],[Revenue]]-Table2[[#This Row],[Expense]]</f>
        <v>44502</v>
      </c>
    </row>
    <row r="228" spans="1:11">
      <c r="A228" s="16" t="s">
        <v>251</v>
      </c>
      <c r="B228" s="10">
        <v>45518</v>
      </c>
      <c r="C228" s="10" t="str">
        <f>TEXT(Table2[[#This Row],[Date]],"mmm-yyyy")</f>
        <v>Aug-2024</v>
      </c>
      <c r="D228" s="7" t="s">
        <v>3</v>
      </c>
      <c r="E228" s="7" t="s">
        <v>22</v>
      </c>
      <c r="F228" s="7">
        <v>2</v>
      </c>
      <c r="G228" s="13">
        <v>53852</v>
      </c>
      <c r="H228" s="13">
        <v>26188</v>
      </c>
      <c r="I228" s="7" t="s">
        <v>30</v>
      </c>
      <c r="J228" s="14">
        <f t="shared" si="3"/>
        <v>107704</v>
      </c>
      <c r="K228" s="14">
        <f>Table2[[#This Row],[Revenue]]-Table2[[#This Row],[Expense]]</f>
        <v>81516</v>
      </c>
    </row>
    <row r="229" spans="1:11">
      <c r="A229" s="16" t="s">
        <v>252</v>
      </c>
      <c r="B229" s="10">
        <v>45521</v>
      </c>
      <c r="C229" s="10" t="str">
        <f>TEXT(Table2[[#This Row],[Date]],"mmm-yyyy")</f>
        <v>Aug-2024</v>
      </c>
      <c r="D229" s="7" t="s">
        <v>2</v>
      </c>
      <c r="E229" s="7" t="s">
        <v>16</v>
      </c>
      <c r="F229" s="7">
        <v>8</v>
      </c>
      <c r="G229" s="13">
        <v>28638</v>
      </c>
      <c r="H229" s="13">
        <v>27475</v>
      </c>
      <c r="I229" s="7" t="s">
        <v>36</v>
      </c>
      <c r="J229" s="14">
        <f t="shared" si="3"/>
        <v>229104</v>
      </c>
      <c r="K229" s="14">
        <f>Table2[[#This Row],[Revenue]]-Table2[[#This Row],[Expense]]</f>
        <v>201629</v>
      </c>
    </row>
    <row r="230" spans="1:11">
      <c r="A230" s="16" t="s">
        <v>253</v>
      </c>
      <c r="B230" s="10">
        <v>45522</v>
      </c>
      <c r="C230" s="10" t="str">
        <f>TEXT(Table2[[#This Row],[Date]],"mmm-yyyy")</f>
        <v>Aug-2024</v>
      </c>
      <c r="D230" s="7" t="s">
        <v>26</v>
      </c>
      <c r="E230" s="7" t="s">
        <v>24</v>
      </c>
      <c r="F230" s="7">
        <v>2</v>
      </c>
      <c r="G230" s="13">
        <v>16514</v>
      </c>
      <c r="H230" s="13">
        <v>35501</v>
      </c>
      <c r="I230" s="7" t="s">
        <v>19</v>
      </c>
      <c r="J230" s="14">
        <f t="shared" si="3"/>
        <v>33028</v>
      </c>
      <c r="K230" s="14">
        <f>Table2[[#This Row],[Revenue]]-Table2[[#This Row],[Expense]]</f>
        <v>-2473</v>
      </c>
    </row>
    <row r="231" spans="1:11">
      <c r="A231" s="16" t="s">
        <v>254</v>
      </c>
      <c r="B231" s="10">
        <v>45522</v>
      </c>
      <c r="C231" s="10" t="str">
        <f>TEXT(Table2[[#This Row],[Date]],"mmm-yyyy")</f>
        <v>Aug-2024</v>
      </c>
      <c r="D231" s="7" t="s">
        <v>15</v>
      </c>
      <c r="E231" s="7" t="s">
        <v>16</v>
      </c>
      <c r="F231" s="7">
        <v>2</v>
      </c>
      <c r="G231" s="13">
        <v>57049</v>
      </c>
      <c r="H231" s="13">
        <v>44619</v>
      </c>
      <c r="I231" s="7" t="s">
        <v>30</v>
      </c>
      <c r="J231" s="14">
        <f t="shared" si="3"/>
        <v>114098</v>
      </c>
      <c r="K231" s="14">
        <f>Table2[[#This Row],[Revenue]]-Table2[[#This Row],[Expense]]</f>
        <v>69479</v>
      </c>
    </row>
    <row r="232" spans="1:11">
      <c r="A232" s="16" t="s">
        <v>255</v>
      </c>
      <c r="B232" s="10">
        <v>45522</v>
      </c>
      <c r="C232" s="10" t="str">
        <f>TEXT(Table2[[#This Row],[Date]],"mmm-yyyy")</f>
        <v>Aug-2024</v>
      </c>
      <c r="D232" s="7" t="s">
        <v>2</v>
      </c>
      <c r="E232" s="7" t="s">
        <v>22</v>
      </c>
      <c r="F232" s="7">
        <v>8</v>
      </c>
      <c r="G232" s="13">
        <v>10186</v>
      </c>
      <c r="H232" s="13">
        <v>8710</v>
      </c>
      <c r="I232" s="7" t="s">
        <v>30</v>
      </c>
      <c r="J232" s="14">
        <f t="shared" si="3"/>
        <v>81488</v>
      </c>
      <c r="K232" s="14">
        <f>Table2[[#This Row],[Revenue]]-Table2[[#This Row],[Expense]]</f>
        <v>72778</v>
      </c>
    </row>
    <row r="233" spans="1:11">
      <c r="A233" s="16" t="s">
        <v>256</v>
      </c>
      <c r="B233" s="10">
        <v>45522</v>
      </c>
      <c r="C233" s="10" t="str">
        <f>TEXT(Table2[[#This Row],[Date]],"mmm-yyyy")</f>
        <v>Aug-2024</v>
      </c>
      <c r="D233" s="7" t="s">
        <v>2</v>
      </c>
      <c r="E233" s="7" t="s">
        <v>24</v>
      </c>
      <c r="F233" s="7">
        <v>7</v>
      </c>
      <c r="G233" s="13">
        <v>65561</v>
      </c>
      <c r="H233" s="13">
        <v>19681</v>
      </c>
      <c r="I233" s="7" t="s">
        <v>36</v>
      </c>
      <c r="J233" s="14">
        <f t="shared" si="3"/>
        <v>458927</v>
      </c>
      <c r="K233" s="14">
        <f>Table2[[#This Row],[Revenue]]-Table2[[#This Row],[Expense]]</f>
        <v>439246</v>
      </c>
    </row>
    <row r="234" spans="1:11">
      <c r="A234" s="16" t="s">
        <v>257</v>
      </c>
      <c r="B234" s="10">
        <v>45524</v>
      </c>
      <c r="C234" s="10" t="str">
        <f>TEXT(Table2[[#This Row],[Date]],"mmm-yyyy")</f>
        <v>Aug-2024</v>
      </c>
      <c r="D234" s="7" t="s">
        <v>15</v>
      </c>
      <c r="E234" s="7" t="s">
        <v>24</v>
      </c>
      <c r="F234" s="7">
        <v>2</v>
      </c>
      <c r="G234" s="13">
        <v>43185</v>
      </c>
      <c r="H234" s="13">
        <v>8927</v>
      </c>
      <c r="I234" s="7" t="s">
        <v>19</v>
      </c>
      <c r="J234" s="14">
        <f t="shared" si="3"/>
        <v>86370</v>
      </c>
      <c r="K234" s="14">
        <f>Table2[[#This Row],[Revenue]]-Table2[[#This Row],[Expense]]</f>
        <v>77443</v>
      </c>
    </row>
    <row r="235" spans="1:11">
      <c r="A235" s="16" t="s">
        <v>258</v>
      </c>
      <c r="B235" s="10">
        <v>45524</v>
      </c>
      <c r="C235" s="10" t="str">
        <f>TEXT(Table2[[#This Row],[Date]],"mmm-yyyy")</f>
        <v>Aug-2024</v>
      </c>
      <c r="D235" s="7" t="s">
        <v>3</v>
      </c>
      <c r="E235" s="7" t="s">
        <v>22</v>
      </c>
      <c r="F235" s="7">
        <v>8</v>
      </c>
      <c r="G235" s="13">
        <v>32250</v>
      </c>
      <c r="H235" s="13">
        <v>30055</v>
      </c>
      <c r="I235" s="7" t="s">
        <v>30</v>
      </c>
      <c r="J235" s="14">
        <f t="shared" si="3"/>
        <v>258000</v>
      </c>
      <c r="K235" s="14">
        <f>Table2[[#This Row],[Revenue]]-Table2[[#This Row],[Expense]]</f>
        <v>227945</v>
      </c>
    </row>
    <row r="236" spans="1:11">
      <c r="A236" s="16" t="s">
        <v>259</v>
      </c>
      <c r="B236" s="10">
        <v>45524</v>
      </c>
      <c r="C236" s="10" t="str">
        <f>TEXT(Table2[[#This Row],[Date]],"mmm-yyyy")</f>
        <v>Aug-2024</v>
      </c>
      <c r="D236" s="7" t="s">
        <v>1</v>
      </c>
      <c r="E236" s="7" t="s">
        <v>32</v>
      </c>
      <c r="F236" s="7">
        <v>9</v>
      </c>
      <c r="G236" s="13">
        <v>663</v>
      </c>
      <c r="H236" s="13">
        <v>30139</v>
      </c>
      <c r="I236" s="7" t="s">
        <v>36</v>
      </c>
      <c r="J236" s="14">
        <f t="shared" si="3"/>
        <v>5967</v>
      </c>
      <c r="K236" s="14">
        <f>Table2[[#This Row],[Revenue]]-Table2[[#This Row],[Expense]]</f>
        <v>-24172</v>
      </c>
    </row>
    <row r="237" spans="1:11">
      <c r="A237" s="16" t="s">
        <v>260</v>
      </c>
      <c r="B237" s="10">
        <v>45524</v>
      </c>
      <c r="C237" s="10" t="str">
        <f>TEXT(Table2[[#This Row],[Date]],"mmm-yyyy")</f>
        <v>Aug-2024</v>
      </c>
      <c r="D237" s="7" t="s">
        <v>4</v>
      </c>
      <c r="E237" s="7" t="s">
        <v>24</v>
      </c>
      <c r="F237" s="7">
        <v>6</v>
      </c>
      <c r="G237" s="13">
        <v>61203</v>
      </c>
      <c r="H237" s="13">
        <v>12101</v>
      </c>
      <c r="I237" s="7" t="s">
        <v>30</v>
      </c>
      <c r="J237" s="14">
        <f t="shared" si="3"/>
        <v>367218</v>
      </c>
      <c r="K237" s="14">
        <f>Table2[[#This Row],[Revenue]]-Table2[[#This Row],[Expense]]</f>
        <v>355117</v>
      </c>
    </row>
    <row r="238" spans="1:11">
      <c r="A238" s="16" t="s">
        <v>261</v>
      </c>
      <c r="B238" s="10">
        <v>45525</v>
      </c>
      <c r="C238" s="10" t="str">
        <f>TEXT(Table2[[#This Row],[Date]],"mmm-yyyy")</f>
        <v>Aug-2024</v>
      </c>
      <c r="D238" s="7" t="s">
        <v>26</v>
      </c>
      <c r="E238" s="7" t="s">
        <v>16</v>
      </c>
      <c r="F238" s="7">
        <v>9</v>
      </c>
      <c r="G238" s="13">
        <v>25669</v>
      </c>
      <c r="H238" s="13">
        <v>6432</v>
      </c>
      <c r="I238" s="7" t="s">
        <v>30</v>
      </c>
      <c r="J238" s="14">
        <f t="shared" si="3"/>
        <v>231021</v>
      </c>
      <c r="K238" s="14">
        <f>Table2[[#This Row],[Revenue]]-Table2[[#This Row],[Expense]]</f>
        <v>224589</v>
      </c>
    </row>
    <row r="239" spans="1:11">
      <c r="A239" s="16" t="s">
        <v>262</v>
      </c>
      <c r="B239" s="10">
        <v>45527</v>
      </c>
      <c r="C239" s="10" t="str">
        <f>TEXT(Table2[[#This Row],[Date]],"mmm-yyyy")</f>
        <v>Aug-2024</v>
      </c>
      <c r="D239" s="7" t="s">
        <v>2</v>
      </c>
      <c r="E239" s="7" t="s">
        <v>16</v>
      </c>
      <c r="F239" s="7">
        <v>3</v>
      </c>
      <c r="G239" s="13">
        <v>73797</v>
      </c>
      <c r="H239" s="13">
        <v>26860</v>
      </c>
      <c r="I239" s="7" t="s">
        <v>36</v>
      </c>
      <c r="J239" s="14">
        <f t="shared" si="3"/>
        <v>221391</v>
      </c>
      <c r="K239" s="14">
        <f>Table2[[#This Row],[Revenue]]-Table2[[#This Row],[Expense]]</f>
        <v>194531</v>
      </c>
    </row>
    <row r="240" spans="1:11">
      <c r="A240" s="16" t="s">
        <v>263</v>
      </c>
      <c r="B240" s="10">
        <v>45528</v>
      </c>
      <c r="C240" s="10" t="str">
        <f>TEXT(Table2[[#This Row],[Date]],"mmm-yyyy")</f>
        <v>Aug-2024</v>
      </c>
      <c r="D240" s="7" t="s">
        <v>4</v>
      </c>
      <c r="E240" s="7" t="s">
        <v>16</v>
      </c>
      <c r="F240" s="7">
        <v>9</v>
      </c>
      <c r="G240" s="13">
        <v>25111</v>
      </c>
      <c r="H240" s="13">
        <v>45848</v>
      </c>
      <c r="I240" s="7" t="s">
        <v>19</v>
      </c>
      <c r="J240" s="14">
        <f t="shared" si="3"/>
        <v>225999</v>
      </c>
      <c r="K240" s="14">
        <f>Table2[[#This Row],[Revenue]]-Table2[[#This Row],[Expense]]</f>
        <v>180151</v>
      </c>
    </row>
    <row r="241" spans="1:11">
      <c r="A241" s="16" t="s">
        <v>264</v>
      </c>
      <c r="B241" s="10">
        <v>45528</v>
      </c>
      <c r="C241" s="10" t="str">
        <f>TEXT(Table2[[#This Row],[Date]],"mmm-yyyy")</f>
        <v>Aug-2024</v>
      </c>
      <c r="D241" s="7" t="s">
        <v>1</v>
      </c>
      <c r="E241" s="7" t="s">
        <v>32</v>
      </c>
      <c r="F241" s="7">
        <v>3</v>
      </c>
      <c r="G241" s="13">
        <v>53863</v>
      </c>
      <c r="H241" s="13">
        <v>2619</v>
      </c>
      <c r="I241" s="7" t="s">
        <v>17</v>
      </c>
      <c r="J241" s="14">
        <f t="shared" si="3"/>
        <v>161589</v>
      </c>
      <c r="K241" s="14">
        <f>Table2[[#This Row],[Revenue]]-Table2[[#This Row],[Expense]]</f>
        <v>158970</v>
      </c>
    </row>
    <row r="242" spans="1:11">
      <c r="A242" s="16" t="s">
        <v>265</v>
      </c>
      <c r="B242" s="10">
        <v>45529</v>
      </c>
      <c r="C242" s="10" t="str">
        <f>TEXT(Table2[[#This Row],[Date]],"mmm-yyyy")</f>
        <v>Aug-2024</v>
      </c>
      <c r="D242" s="7" t="s">
        <v>15</v>
      </c>
      <c r="E242" s="7" t="s">
        <v>32</v>
      </c>
      <c r="F242" s="7">
        <v>5</v>
      </c>
      <c r="G242" s="13">
        <v>70567</v>
      </c>
      <c r="H242" s="13">
        <v>31090</v>
      </c>
      <c r="I242" s="7" t="s">
        <v>30</v>
      </c>
      <c r="J242" s="14">
        <f t="shared" si="3"/>
        <v>352835</v>
      </c>
      <c r="K242" s="14">
        <f>Table2[[#This Row],[Revenue]]-Table2[[#This Row],[Expense]]</f>
        <v>321745</v>
      </c>
    </row>
    <row r="243" spans="1:11">
      <c r="A243" s="16" t="s">
        <v>266</v>
      </c>
      <c r="B243" s="10">
        <v>45531</v>
      </c>
      <c r="C243" s="10" t="str">
        <f>TEXT(Table2[[#This Row],[Date]],"mmm-yyyy")</f>
        <v>Aug-2024</v>
      </c>
      <c r="D243" s="7" t="s">
        <v>15</v>
      </c>
      <c r="E243" s="7" t="s">
        <v>22</v>
      </c>
      <c r="F243" s="7">
        <v>2</v>
      </c>
      <c r="G243" s="13">
        <v>79864</v>
      </c>
      <c r="H243" s="13">
        <v>38823</v>
      </c>
      <c r="I243" s="7" t="s">
        <v>36</v>
      </c>
      <c r="J243" s="14">
        <f t="shared" si="3"/>
        <v>159728</v>
      </c>
      <c r="K243" s="14">
        <f>Table2[[#This Row],[Revenue]]-Table2[[#This Row],[Expense]]</f>
        <v>120905</v>
      </c>
    </row>
    <row r="244" spans="1:11">
      <c r="A244" s="16" t="s">
        <v>267</v>
      </c>
      <c r="B244" s="10">
        <v>45532</v>
      </c>
      <c r="C244" s="10" t="str">
        <f>TEXT(Table2[[#This Row],[Date]],"mmm-yyyy")</f>
        <v>Aug-2024</v>
      </c>
      <c r="D244" s="7" t="s">
        <v>26</v>
      </c>
      <c r="E244" s="7" t="s">
        <v>16</v>
      </c>
      <c r="F244" s="7">
        <v>7</v>
      </c>
      <c r="G244" s="13">
        <v>35003</v>
      </c>
      <c r="H244" s="13">
        <v>43821</v>
      </c>
      <c r="I244" s="7" t="s">
        <v>17</v>
      </c>
      <c r="J244" s="14">
        <f t="shared" si="3"/>
        <v>245021</v>
      </c>
      <c r="K244" s="14">
        <f>Table2[[#This Row],[Revenue]]-Table2[[#This Row],[Expense]]</f>
        <v>201200</v>
      </c>
    </row>
    <row r="245" spans="1:11">
      <c r="A245" s="16" t="s">
        <v>268</v>
      </c>
      <c r="B245" s="10">
        <v>45533</v>
      </c>
      <c r="C245" s="10" t="str">
        <f>TEXT(Table2[[#This Row],[Date]],"mmm-yyyy")</f>
        <v>Aug-2024</v>
      </c>
      <c r="D245" s="7" t="s">
        <v>26</v>
      </c>
      <c r="E245" s="7" t="s">
        <v>16</v>
      </c>
      <c r="F245" s="7">
        <v>7</v>
      </c>
      <c r="G245" s="13">
        <v>12063</v>
      </c>
      <c r="H245" s="13">
        <v>16379</v>
      </c>
      <c r="I245" s="7" t="s">
        <v>17</v>
      </c>
      <c r="J245" s="14">
        <f t="shared" si="3"/>
        <v>84441</v>
      </c>
      <c r="K245" s="14">
        <f>Table2[[#This Row],[Revenue]]-Table2[[#This Row],[Expense]]</f>
        <v>68062</v>
      </c>
    </row>
    <row r="246" spans="1:11">
      <c r="A246" s="16" t="s">
        <v>269</v>
      </c>
      <c r="B246" s="10">
        <v>45534</v>
      </c>
      <c r="C246" s="10" t="str">
        <f>TEXT(Table2[[#This Row],[Date]],"mmm-yyyy")</f>
        <v>Aug-2024</v>
      </c>
      <c r="D246" s="7" t="s">
        <v>3</v>
      </c>
      <c r="E246" s="7" t="s">
        <v>24</v>
      </c>
      <c r="F246" s="7">
        <v>4</v>
      </c>
      <c r="G246" s="13">
        <v>29482</v>
      </c>
      <c r="H246" s="13">
        <v>10557</v>
      </c>
      <c r="I246" s="7" t="s">
        <v>19</v>
      </c>
      <c r="J246" s="14">
        <f t="shared" si="3"/>
        <v>117928</v>
      </c>
      <c r="K246" s="14">
        <f>Table2[[#This Row],[Revenue]]-Table2[[#This Row],[Expense]]</f>
        <v>107371</v>
      </c>
    </row>
    <row r="247" spans="1:11">
      <c r="A247" s="16" t="s">
        <v>270</v>
      </c>
      <c r="B247" s="10">
        <v>45535</v>
      </c>
      <c r="C247" s="10" t="str">
        <f>TEXT(Table2[[#This Row],[Date]],"mmm-yyyy")</f>
        <v>Aug-2024</v>
      </c>
      <c r="D247" s="7" t="s">
        <v>1</v>
      </c>
      <c r="E247" s="7" t="s">
        <v>27</v>
      </c>
      <c r="F247" s="7">
        <v>7</v>
      </c>
      <c r="G247" s="13">
        <v>26037</v>
      </c>
      <c r="H247" s="13">
        <v>32656</v>
      </c>
      <c r="I247" s="7" t="s">
        <v>30</v>
      </c>
      <c r="J247" s="14">
        <f t="shared" si="3"/>
        <v>182259</v>
      </c>
      <c r="K247" s="14">
        <f>Table2[[#This Row],[Revenue]]-Table2[[#This Row],[Expense]]</f>
        <v>149603</v>
      </c>
    </row>
    <row r="248" spans="1:11">
      <c r="A248" s="16" t="s">
        <v>271</v>
      </c>
      <c r="B248" s="10">
        <v>45538</v>
      </c>
      <c r="C248" s="10" t="str">
        <f>TEXT(Table2[[#This Row],[Date]],"mmm-yyyy")</f>
        <v>Sep-2024</v>
      </c>
      <c r="D248" s="7" t="s">
        <v>2</v>
      </c>
      <c r="E248" s="7" t="s">
        <v>27</v>
      </c>
      <c r="F248" s="7">
        <v>9</v>
      </c>
      <c r="G248" s="13">
        <v>8467</v>
      </c>
      <c r="H248" s="13">
        <v>1097</v>
      </c>
      <c r="I248" s="7" t="s">
        <v>17</v>
      </c>
      <c r="J248" s="14">
        <f t="shared" si="3"/>
        <v>76203</v>
      </c>
      <c r="K248" s="14">
        <f>Table2[[#This Row],[Revenue]]-Table2[[#This Row],[Expense]]</f>
        <v>75106</v>
      </c>
    </row>
    <row r="249" spans="1:11">
      <c r="A249" s="16" t="s">
        <v>272</v>
      </c>
      <c r="B249" s="10">
        <v>45543</v>
      </c>
      <c r="C249" s="10" t="str">
        <f>TEXT(Table2[[#This Row],[Date]],"mmm-yyyy")</f>
        <v>Sep-2024</v>
      </c>
      <c r="D249" s="7" t="s">
        <v>3</v>
      </c>
      <c r="E249" s="7" t="s">
        <v>32</v>
      </c>
      <c r="F249" s="7">
        <v>4</v>
      </c>
      <c r="G249" s="13">
        <v>4154</v>
      </c>
      <c r="H249" s="13">
        <v>1161</v>
      </c>
      <c r="I249" s="7" t="s">
        <v>17</v>
      </c>
      <c r="J249" s="14">
        <f t="shared" si="3"/>
        <v>16616</v>
      </c>
      <c r="K249" s="14">
        <f>Table2[[#This Row],[Revenue]]-Table2[[#This Row],[Expense]]</f>
        <v>15455</v>
      </c>
    </row>
    <row r="250" spans="1:11">
      <c r="A250" s="16" t="s">
        <v>273</v>
      </c>
      <c r="B250" s="10">
        <v>45543</v>
      </c>
      <c r="C250" s="10" t="str">
        <f>TEXT(Table2[[#This Row],[Date]],"mmm-yyyy")</f>
        <v>Sep-2024</v>
      </c>
      <c r="D250" s="7" t="s">
        <v>4</v>
      </c>
      <c r="E250" s="7" t="s">
        <v>24</v>
      </c>
      <c r="F250" s="7">
        <v>5</v>
      </c>
      <c r="G250" s="13">
        <v>77166</v>
      </c>
      <c r="H250" s="13">
        <v>38861</v>
      </c>
      <c r="I250" s="7" t="s">
        <v>19</v>
      </c>
      <c r="J250" s="14">
        <f t="shared" si="3"/>
        <v>385830</v>
      </c>
      <c r="K250" s="14">
        <f>Table2[[#This Row],[Revenue]]-Table2[[#This Row],[Expense]]</f>
        <v>346969</v>
      </c>
    </row>
    <row r="251" spans="1:11">
      <c r="A251" s="16" t="s">
        <v>274</v>
      </c>
      <c r="B251" s="10">
        <v>45543</v>
      </c>
      <c r="C251" s="10" t="str">
        <f>TEXT(Table2[[#This Row],[Date]],"mmm-yyyy")</f>
        <v>Sep-2024</v>
      </c>
      <c r="D251" s="7" t="s">
        <v>2</v>
      </c>
      <c r="E251" s="7" t="s">
        <v>16</v>
      </c>
      <c r="F251" s="7">
        <v>6</v>
      </c>
      <c r="G251" s="13">
        <v>71484</v>
      </c>
      <c r="H251" s="13">
        <v>11983</v>
      </c>
      <c r="I251" s="7" t="s">
        <v>36</v>
      </c>
      <c r="J251" s="14">
        <f t="shared" si="3"/>
        <v>428904</v>
      </c>
      <c r="K251" s="14">
        <f>Table2[[#This Row],[Revenue]]-Table2[[#This Row],[Expense]]</f>
        <v>416921</v>
      </c>
    </row>
    <row r="252" spans="1:11">
      <c r="A252" s="16" t="s">
        <v>275</v>
      </c>
      <c r="B252" s="10">
        <v>45543</v>
      </c>
      <c r="C252" s="10" t="str">
        <f>TEXT(Table2[[#This Row],[Date]],"mmm-yyyy")</f>
        <v>Sep-2024</v>
      </c>
      <c r="D252" s="7" t="s">
        <v>1</v>
      </c>
      <c r="E252" s="7" t="s">
        <v>22</v>
      </c>
      <c r="F252" s="7">
        <v>3</v>
      </c>
      <c r="G252" s="13">
        <v>63146</v>
      </c>
      <c r="H252" s="13">
        <v>3551</v>
      </c>
      <c r="I252" s="7" t="s">
        <v>36</v>
      </c>
      <c r="J252" s="14">
        <f t="shared" si="3"/>
        <v>189438</v>
      </c>
      <c r="K252" s="14">
        <f>Table2[[#This Row],[Revenue]]-Table2[[#This Row],[Expense]]</f>
        <v>185887</v>
      </c>
    </row>
    <row r="253" spans="1:11">
      <c r="A253" s="16" t="s">
        <v>276</v>
      </c>
      <c r="B253" s="10">
        <v>45544</v>
      </c>
      <c r="C253" s="10" t="str">
        <f>TEXT(Table2[[#This Row],[Date]],"mmm-yyyy")</f>
        <v>Sep-2024</v>
      </c>
      <c r="D253" s="7" t="s">
        <v>3</v>
      </c>
      <c r="E253" s="7" t="s">
        <v>16</v>
      </c>
      <c r="F253" s="7">
        <v>9</v>
      </c>
      <c r="G253" s="13">
        <v>36821</v>
      </c>
      <c r="H253" s="13">
        <v>23656</v>
      </c>
      <c r="I253" s="7" t="s">
        <v>30</v>
      </c>
      <c r="J253" s="14">
        <f t="shared" si="3"/>
        <v>331389</v>
      </c>
      <c r="K253" s="14">
        <f>Table2[[#This Row],[Revenue]]-Table2[[#This Row],[Expense]]</f>
        <v>307733</v>
      </c>
    </row>
    <row r="254" spans="1:11">
      <c r="A254" s="16" t="s">
        <v>277</v>
      </c>
      <c r="B254" s="10">
        <v>45544</v>
      </c>
      <c r="C254" s="10" t="str">
        <f>TEXT(Table2[[#This Row],[Date]],"mmm-yyyy")</f>
        <v>Sep-2024</v>
      </c>
      <c r="D254" s="7" t="s">
        <v>1</v>
      </c>
      <c r="E254" s="7" t="s">
        <v>27</v>
      </c>
      <c r="F254" s="7">
        <v>2</v>
      </c>
      <c r="G254" s="13">
        <v>49645</v>
      </c>
      <c r="H254" s="13">
        <v>11693</v>
      </c>
      <c r="I254" s="7" t="s">
        <v>36</v>
      </c>
      <c r="J254" s="14">
        <f t="shared" si="3"/>
        <v>99290</v>
      </c>
      <c r="K254" s="14">
        <f>Table2[[#This Row],[Revenue]]-Table2[[#This Row],[Expense]]</f>
        <v>87597</v>
      </c>
    </row>
    <row r="255" spans="1:11">
      <c r="A255" s="16" t="s">
        <v>278</v>
      </c>
      <c r="B255" s="10">
        <v>45545</v>
      </c>
      <c r="C255" s="10" t="str">
        <f>TEXT(Table2[[#This Row],[Date]],"mmm-yyyy")</f>
        <v>Sep-2024</v>
      </c>
      <c r="D255" s="7" t="s">
        <v>26</v>
      </c>
      <c r="E255" s="7" t="s">
        <v>27</v>
      </c>
      <c r="F255" s="7">
        <v>6</v>
      </c>
      <c r="G255" s="13">
        <v>59853</v>
      </c>
      <c r="H255" s="13">
        <v>23447</v>
      </c>
      <c r="I255" s="7" t="s">
        <v>19</v>
      </c>
      <c r="J255" s="14">
        <f t="shared" si="3"/>
        <v>359118</v>
      </c>
      <c r="K255" s="14">
        <f>Table2[[#This Row],[Revenue]]-Table2[[#This Row],[Expense]]</f>
        <v>335671</v>
      </c>
    </row>
    <row r="256" spans="1:11">
      <c r="A256" s="16" t="s">
        <v>279</v>
      </c>
      <c r="B256" s="10">
        <v>45545</v>
      </c>
      <c r="C256" s="10" t="str">
        <f>TEXT(Table2[[#This Row],[Date]],"mmm-yyyy")</f>
        <v>Sep-2024</v>
      </c>
      <c r="D256" s="7" t="s">
        <v>15</v>
      </c>
      <c r="E256" s="7" t="s">
        <v>22</v>
      </c>
      <c r="F256" s="7">
        <v>5</v>
      </c>
      <c r="G256" s="13">
        <v>64541</v>
      </c>
      <c r="H256" s="13">
        <v>21074</v>
      </c>
      <c r="I256" s="7" t="s">
        <v>30</v>
      </c>
      <c r="J256" s="14">
        <f t="shared" si="3"/>
        <v>322705</v>
      </c>
      <c r="K256" s="14">
        <f>Table2[[#This Row],[Revenue]]-Table2[[#This Row],[Expense]]</f>
        <v>301631</v>
      </c>
    </row>
    <row r="257" spans="1:11">
      <c r="A257" s="16" t="s">
        <v>280</v>
      </c>
      <c r="B257" s="10">
        <v>45546</v>
      </c>
      <c r="C257" s="10" t="str">
        <f>TEXT(Table2[[#This Row],[Date]],"mmm-yyyy")</f>
        <v>Sep-2024</v>
      </c>
      <c r="D257" s="7" t="s">
        <v>4</v>
      </c>
      <c r="E257" s="7" t="s">
        <v>27</v>
      </c>
      <c r="F257" s="7">
        <v>9</v>
      </c>
      <c r="G257" s="13">
        <v>16956</v>
      </c>
      <c r="H257" s="13">
        <v>43963</v>
      </c>
      <c r="I257" s="7" t="s">
        <v>17</v>
      </c>
      <c r="J257" s="14">
        <f t="shared" si="3"/>
        <v>152604</v>
      </c>
      <c r="K257" s="14">
        <f>Table2[[#This Row],[Revenue]]-Table2[[#This Row],[Expense]]</f>
        <v>108641</v>
      </c>
    </row>
    <row r="258" spans="1:11">
      <c r="A258" s="16" t="s">
        <v>281</v>
      </c>
      <c r="B258" s="10">
        <v>45546</v>
      </c>
      <c r="C258" s="10" t="str">
        <f>TEXT(Table2[[#This Row],[Date]],"mmm-yyyy")</f>
        <v>Sep-2024</v>
      </c>
      <c r="D258" s="7" t="s">
        <v>2</v>
      </c>
      <c r="E258" s="7" t="s">
        <v>16</v>
      </c>
      <c r="F258" s="7">
        <v>8</v>
      </c>
      <c r="G258" s="13">
        <v>55599</v>
      </c>
      <c r="H258" s="13">
        <v>9535</v>
      </c>
      <c r="I258" s="7" t="s">
        <v>17</v>
      </c>
      <c r="J258" s="14">
        <f t="shared" ref="J258:J321" si="4">G258*F258</f>
        <v>444792</v>
      </c>
      <c r="K258" s="14">
        <f>Table2[[#This Row],[Revenue]]-Table2[[#This Row],[Expense]]</f>
        <v>435257</v>
      </c>
    </row>
    <row r="259" spans="1:11">
      <c r="A259" s="16" t="s">
        <v>282</v>
      </c>
      <c r="B259" s="10">
        <v>45547</v>
      </c>
      <c r="C259" s="10" t="str">
        <f>TEXT(Table2[[#This Row],[Date]],"mmm-yyyy")</f>
        <v>Sep-2024</v>
      </c>
      <c r="D259" s="7" t="s">
        <v>2</v>
      </c>
      <c r="E259" s="7" t="s">
        <v>27</v>
      </c>
      <c r="F259" s="7">
        <v>7</v>
      </c>
      <c r="G259" s="13">
        <v>47304</v>
      </c>
      <c r="H259" s="13">
        <v>37598</v>
      </c>
      <c r="I259" s="7" t="s">
        <v>36</v>
      </c>
      <c r="J259" s="14">
        <f t="shared" si="4"/>
        <v>331128</v>
      </c>
      <c r="K259" s="14">
        <f>Table2[[#This Row],[Revenue]]-Table2[[#This Row],[Expense]]</f>
        <v>293530</v>
      </c>
    </row>
    <row r="260" spans="1:11">
      <c r="A260" s="16" t="s">
        <v>283</v>
      </c>
      <c r="B260" s="10">
        <v>45548</v>
      </c>
      <c r="C260" s="10" t="str">
        <f>TEXT(Table2[[#This Row],[Date]],"mmm-yyyy")</f>
        <v>Sep-2024</v>
      </c>
      <c r="D260" s="7" t="s">
        <v>26</v>
      </c>
      <c r="E260" s="7" t="s">
        <v>24</v>
      </c>
      <c r="F260" s="7">
        <v>3</v>
      </c>
      <c r="G260" s="13">
        <v>12823</v>
      </c>
      <c r="H260" s="13">
        <v>30252</v>
      </c>
      <c r="I260" s="7" t="s">
        <v>30</v>
      </c>
      <c r="J260" s="14">
        <f t="shared" si="4"/>
        <v>38469</v>
      </c>
      <c r="K260" s="14">
        <f>Table2[[#This Row],[Revenue]]-Table2[[#This Row],[Expense]]</f>
        <v>8217</v>
      </c>
    </row>
    <row r="261" spans="1:11">
      <c r="A261" s="16" t="s">
        <v>284</v>
      </c>
      <c r="B261" s="10">
        <v>45549</v>
      </c>
      <c r="C261" s="10" t="str">
        <f>TEXT(Table2[[#This Row],[Date]],"mmm-yyyy")</f>
        <v>Sep-2024</v>
      </c>
      <c r="D261" s="7" t="s">
        <v>1</v>
      </c>
      <c r="E261" s="7" t="s">
        <v>24</v>
      </c>
      <c r="F261" s="7">
        <v>8</v>
      </c>
      <c r="G261" s="13">
        <v>17587</v>
      </c>
      <c r="H261" s="13">
        <v>9894</v>
      </c>
      <c r="I261" s="7" t="s">
        <v>30</v>
      </c>
      <c r="J261" s="14">
        <f t="shared" si="4"/>
        <v>140696</v>
      </c>
      <c r="K261" s="14">
        <f>Table2[[#This Row],[Revenue]]-Table2[[#This Row],[Expense]]</f>
        <v>130802</v>
      </c>
    </row>
    <row r="262" spans="1:11">
      <c r="A262" s="16" t="s">
        <v>285</v>
      </c>
      <c r="B262" s="10">
        <v>45550</v>
      </c>
      <c r="C262" s="10" t="str">
        <f>TEXT(Table2[[#This Row],[Date]],"mmm-yyyy")</f>
        <v>Sep-2024</v>
      </c>
      <c r="D262" s="7" t="s">
        <v>2</v>
      </c>
      <c r="E262" s="7" t="s">
        <v>32</v>
      </c>
      <c r="F262" s="7">
        <v>4</v>
      </c>
      <c r="G262" s="13">
        <v>18573</v>
      </c>
      <c r="H262" s="13">
        <v>49330</v>
      </c>
      <c r="I262" s="7" t="s">
        <v>30</v>
      </c>
      <c r="J262" s="14">
        <f t="shared" si="4"/>
        <v>74292</v>
      </c>
      <c r="K262" s="14">
        <f>Table2[[#This Row],[Revenue]]-Table2[[#This Row],[Expense]]</f>
        <v>24962</v>
      </c>
    </row>
    <row r="263" spans="1:11">
      <c r="A263" s="16" t="s">
        <v>286</v>
      </c>
      <c r="B263" s="10">
        <v>45550</v>
      </c>
      <c r="C263" s="10" t="str">
        <f>TEXT(Table2[[#This Row],[Date]],"mmm-yyyy")</f>
        <v>Sep-2024</v>
      </c>
      <c r="D263" s="7" t="s">
        <v>2</v>
      </c>
      <c r="E263" s="7" t="s">
        <v>24</v>
      </c>
      <c r="F263" s="7">
        <v>7</v>
      </c>
      <c r="G263" s="13">
        <v>30294</v>
      </c>
      <c r="H263" s="13">
        <v>6774</v>
      </c>
      <c r="I263" s="7" t="s">
        <v>36</v>
      </c>
      <c r="J263" s="14">
        <f t="shared" si="4"/>
        <v>212058</v>
      </c>
      <c r="K263" s="14">
        <f>Table2[[#This Row],[Revenue]]-Table2[[#This Row],[Expense]]</f>
        <v>205284</v>
      </c>
    </row>
    <row r="264" spans="1:11">
      <c r="A264" s="16" t="s">
        <v>287</v>
      </c>
      <c r="B264" s="10">
        <v>45551</v>
      </c>
      <c r="C264" s="10" t="str">
        <f>TEXT(Table2[[#This Row],[Date]],"mmm-yyyy")</f>
        <v>Sep-2024</v>
      </c>
      <c r="D264" s="7" t="s">
        <v>2</v>
      </c>
      <c r="E264" s="7" t="s">
        <v>22</v>
      </c>
      <c r="F264" s="7">
        <v>5</v>
      </c>
      <c r="G264" s="13">
        <v>7651</v>
      </c>
      <c r="H264" s="13">
        <v>34848</v>
      </c>
      <c r="I264" s="7" t="s">
        <v>19</v>
      </c>
      <c r="J264" s="14">
        <f t="shared" si="4"/>
        <v>38255</v>
      </c>
      <c r="K264" s="14">
        <f>Table2[[#This Row],[Revenue]]-Table2[[#This Row],[Expense]]</f>
        <v>3407</v>
      </c>
    </row>
    <row r="265" spans="1:11">
      <c r="A265" s="16" t="s">
        <v>288</v>
      </c>
      <c r="B265" s="10">
        <v>45552</v>
      </c>
      <c r="C265" s="10" t="str">
        <f>TEXT(Table2[[#This Row],[Date]],"mmm-yyyy")</f>
        <v>Sep-2024</v>
      </c>
      <c r="D265" s="7" t="s">
        <v>2</v>
      </c>
      <c r="E265" s="7" t="s">
        <v>32</v>
      </c>
      <c r="F265" s="7">
        <v>3</v>
      </c>
      <c r="G265" s="13">
        <v>77731</v>
      </c>
      <c r="H265" s="13">
        <v>31447</v>
      </c>
      <c r="I265" s="7" t="s">
        <v>36</v>
      </c>
      <c r="J265" s="14">
        <f t="shared" si="4"/>
        <v>233193</v>
      </c>
      <c r="K265" s="14">
        <f>Table2[[#This Row],[Revenue]]-Table2[[#This Row],[Expense]]</f>
        <v>201746</v>
      </c>
    </row>
    <row r="266" spans="1:11">
      <c r="A266" s="16" t="s">
        <v>289</v>
      </c>
      <c r="B266" s="10">
        <v>45554</v>
      </c>
      <c r="C266" s="10" t="str">
        <f>TEXT(Table2[[#This Row],[Date]],"mmm-yyyy")</f>
        <v>Sep-2024</v>
      </c>
      <c r="D266" s="7" t="s">
        <v>1</v>
      </c>
      <c r="E266" s="7" t="s">
        <v>32</v>
      </c>
      <c r="F266" s="7">
        <v>9</v>
      </c>
      <c r="G266" s="13">
        <v>62449</v>
      </c>
      <c r="H266" s="13">
        <v>30450</v>
      </c>
      <c r="I266" s="7" t="s">
        <v>30</v>
      </c>
      <c r="J266" s="14">
        <f t="shared" si="4"/>
        <v>562041</v>
      </c>
      <c r="K266" s="14">
        <f>Table2[[#This Row],[Revenue]]-Table2[[#This Row],[Expense]]</f>
        <v>531591</v>
      </c>
    </row>
    <row r="267" spans="1:11">
      <c r="A267" s="16" t="s">
        <v>290</v>
      </c>
      <c r="B267" s="10">
        <v>45555</v>
      </c>
      <c r="C267" s="10" t="str">
        <f>TEXT(Table2[[#This Row],[Date]],"mmm-yyyy")</f>
        <v>Sep-2024</v>
      </c>
      <c r="D267" s="7" t="s">
        <v>1</v>
      </c>
      <c r="E267" s="7" t="s">
        <v>16</v>
      </c>
      <c r="F267" s="7">
        <v>7</v>
      </c>
      <c r="G267" s="13">
        <v>70467</v>
      </c>
      <c r="H267" s="13">
        <v>43003</v>
      </c>
      <c r="I267" s="7" t="s">
        <v>19</v>
      </c>
      <c r="J267" s="14">
        <f t="shared" si="4"/>
        <v>493269</v>
      </c>
      <c r="K267" s="14">
        <f>Table2[[#This Row],[Revenue]]-Table2[[#This Row],[Expense]]</f>
        <v>450266</v>
      </c>
    </row>
    <row r="268" spans="1:11">
      <c r="A268" s="16" t="s">
        <v>291</v>
      </c>
      <c r="B268" s="10">
        <v>45555</v>
      </c>
      <c r="C268" s="10" t="str">
        <f>TEXT(Table2[[#This Row],[Date]],"mmm-yyyy")</f>
        <v>Sep-2024</v>
      </c>
      <c r="D268" s="7" t="s">
        <v>15</v>
      </c>
      <c r="E268" s="7" t="s">
        <v>32</v>
      </c>
      <c r="F268" s="7">
        <v>3</v>
      </c>
      <c r="G268" s="13">
        <v>47741</v>
      </c>
      <c r="H268" s="13">
        <v>47305</v>
      </c>
      <c r="I268" s="7" t="s">
        <v>36</v>
      </c>
      <c r="J268" s="14">
        <f t="shared" si="4"/>
        <v>143223</v>
      </c>
      <c r="K268" s="14">
        <f>Table2[[#This Row],[Revenue]]-Table2[[#This Row],[Expense]]</f>
        <v>95918</v>
      </c>
    </row>
    <row r="269" spans="1:11">
      <c r="A269" s="16" t="s">
        <v>292</v>
      </c>
      <c r="B269" s="10">
        <v>45556</v>
      </c>
      <c r="C269" s="10" t="str">
        <f>TEXT(Table2[[#This Row],[Date]],"mmm-yyyy")</f>
        <v>Sep-2024</v>
      </c>
      <c r="D269" s="7" t="s">
        <v>15</v>
      </c>
      <c r="E269" s="7" t="s">
        <v>22</v>
      </c>
      <c r="F269" s="7">
        <v>2</v>
      </c>
      <c r="G269" s="13">
        <v>47319</v>
      </c>
      <c r="H269" s="13">
        <v>37751</v>
      </c>
      <c r="I269" s="7" t="s">
        <v>19</v>
      </c>
      <c r="J269" s="14">
        <f t="shared" si="4"/>
        <v>94638</v>
      </c>
      <c r="K269" s="14">
        <f>Table2[[#This Row],[Revenue]]-Table2[[#This Row],[Expense]]</f>
        <v>56887</v>
      </c>
    </row>
    <row r="270" spans="1:11">
      <c r="A270" s="16" t="s">
        <v>293</v>
      </c>
      <c r="B270" s="10">
        <v>45558</v>
      </c>
      <c r="C270" s="10" t="str">
        <f>TEXT(Table2[[#This Row],[Date]],"mmm-yyyy")</f>
        <v>Sep-2024</v>
      </c>
      <c r="D270" s="7" t="s">
        <v>26</v>
      </c>
      <c r="E270" s="7" t="s">
        <v>32</v>
      </c>
      <c r="F270" s="7">
        <v>7</v>
      </c>
      <c r="G270" s="13">
        <v>32871</v>
      </c>
      <c r="H270" s="13">
        <v>42971</v>
      </c>
      <c r="I270" s="7" t="s">
        <v>36</v>
      </c>
      <c r="J270" s="14">
        <f t="shared" si="4"/>
        <v>230097</v>
      </c>
      <c r="K270" s="14">
        <f>Table2[[#This Row],[Revenue]]-Table2[[#This Row],[Expense]]</f>
        <v>187126</v>
      </c>
    </row>
    <row r="271" spans="1:11">
      <c r="A271" s="16" t="s">
        <v>294</v>
      </c>
      <c r="B271" s="10">
        <v>45559</v>
      </c>
      <c r="C271" s="10" t="str">
        <f>TEXT(Table2[[#This Row],[Date]],"mmm-yyyy")</f>
        <v>Sep-2024</v>
      </c>
      <c r="D271" s="7" t="s">
        <v>4</v>
      </c>
      <c r="E271" s="7" t="s">
        <v>16</v>
      </c>
      <c r="F271" s="7">
        <v>8</v>
      </c>
      <c r="G271" s="13">
        <v>27713</v>
      </c>
      <c r="H271" s="13">
        <v>4471</v>
      </c>
      <c r="I271" s="7" t="s">
        <v>17</v>
      </c>
      <c r="J271" s="14">
        <f t="shared" si="4"/>
        <v>221704</v>
      </c>
      <c r="K271" s="14">
        <f>Table2[[#This Row],[Revenue]]-Table2[[#This Row],[Expense]]</f>
        <v>217233</v>
      </c>
    </row>
    <row r="272" spans="1:11">
      <c r="A272" s="16" t="s">
        <v>295</v>
      </c>
      <c r="B272" s="10">
        <v>45559</v>
      </c>
      <c r="C272" s="10" t="str">
        <f>TEXT(Table2[[#This Row],[Date]],"mmm-yyyy")</f>
        <v>Sep-2024</v>
      </c>
      <c r="D272" s="7" t="s">
        <v>4</v>
      </c>
      <c r="E272" s="7" t="s">
        <v>16</v>
      </c>
      <c r="F272" s="7">
        <v>2</v>
      </c>
      <c r="G272" s="13">
        <v>21109</v>
      </c>
      <c r="H272" s="13">
        <v>30300</v>
      </c>
      <c r="I272" s="7" t="s">
        <v>17</v>
      </c>
      <c r="J272" s="14">
        <f t="shared" si="4"/>
        <v>42218</v>
      </c>
      <c r="K272" s="14">
        <f>Table2[[#This Row],[Revenue]]-Table2[[#This Row],[Expense]]</f>
        <v>11918</v>
      </c>
    </row>
    <row r="273" spans="1:11">
      <c r="A273" s="16" t="s">
        <v>296</v>
      </c>
      <c r="B273" s="10">
        <v>45561</v>
      </c>
      <c r="C273" s="10" t="str">
        <f>TEXT(Table2[[#This Row],[Date]],"mmm-yyyy")</f>
        <v>Sep-2024</v>
      </c>
      <c r="D273" s="7" t="s">
        <v>2</v>
      </c>
      <c r="E273" s="7" t="s">
        <v>16</v>
      </c>
      <c r="F273" s="7">
        <v>8</v>
      </c>
      <c r="G273" s="13">
        <v>44096</v>
      </c>
      <c r="H273" s="13">
        <v>24225</v>
      </c>
      <c r="I273" s="7" t="s">
        <v>36</v>
      </c>
      <c r="J273" s="14">
        <f t="shared" si="4"/>
        <v>352768</v>
      </c>
      <c r="K273" s="14">
        <f>Table2[[#This Row],[Revenue]]-Table2[[#This Row],[Expense]]</f>
        <v>328543</v>
      </c>
    </row>
    <row r="274" spans="1:11">
      <c r="A274" s="16" t="s">
        <v>297</v>
      </c>
      <c r="B274" s="10">
        <v>45562</v>
      </c>
      <c r="C274" s="10" t="str">
        <f>TEXT(Table2[[#This Row],[Date]],"mmm-yyyy")</f>
        <v>Sep-2024</v>
      </c>
      <c r="D274" s="7" t="s">
        <v>4</v>
      </c>
      <c r="E274" s="7" t="s">
        <v>27</v>
      </c>
      <c r="F274" s="7">
        <v>3</v>
      </c>
      <c r="G274" s="13">
        <v>29125</v>
      </c>
      <c r="H274" s="13">
        <v>29444</v>
      </c>
      <c r="I274" s="7" t="s">
        <v>36</v>
      </c>
      <c r="J274" s="14">
        <f t="shared" si="4"/>
        <v>87375</v>
      </c>
      <c r="K274" s="14">
        <f>Table2[[#This Row],[Revenue]]-Table2[[#This Row],[Expense]]</f>
        <v>57931</v>
      </c>
    </row>
    <row r="275" spans="1:11">
      <c r="A275" s="16" t="s">
        <v>298</v>
      </c>
      <c r="B275" s="10">
        <v>45562</v>
      </c>
      <c r="C275" s="10" t="str">
        <f>TEXT(Table2[[#This Row],[Date]],"mmm-yyyy")</f>
        <v>Sep-2024</v>
      </c>
      <c r="D275" s="7" t="s">
        <v>3</v>
      </c>
      <c r="E275" s="7" t="s">
        <v>24</v>
      </c>
      <c r="F275" s="7">
        <v>7</v>
      </c>
      <c r="G275" s="13">
        <v>78214</v>
      </c>
      <c r="H275" s="13">
        <v>4081</v>
      </c>
      <c r="I275" s="7" t="s">
        <v>19</v>
      </c>
      <c r="J275" s="14">
        <f t="shared" si="4"/>
        <v>547498</v>
      </c>
      <c r="K275" s="14">
        <f>Table2[[#This Row],[Revenue]]-Table2[[#This Row],[Expense]]</f>
        <v>543417</v>
      </c>
    </row>
    <row r="276" spans="1:11">
      <c r="A276" s="16" t="s">
        <v>299</v>
      </c>
      <c r="B276" s="10">
        <v>45562</v>
      </c>
      <c r="C276" s="10" t="str">
        <f>TEXT(Table2[[#This Row],[Date]],"mmm-yyyy")</f>
        <v>Sep-2024</v>
      </c>
      <c r="D276" s="7" t="s">
        <v>2</v>
      </c>
      <c r="E276" s="7" t="s">
        <v>24</v>
      </c>
      <c r="F276" s="7">
        <v>7</v>
      </c>
      <c r="G276" s="13">
        <v>49213</v>
      </c>
      <c r="H276" s="13">
        <v>28523</v>
      </c>
      <c r="I276" s="7" t="s">
        <v>36</v>
      </c>
      <c r="J276" s="14">
        <f t="shared" si="4"/>
        <v>344491</v>
      </c>
      <c r="K276" s="14">
        <f>Table2[[#This Row],[Revenue]]-Table2[[#This Row],[Expense]]</f>
        <v>315968</v>
      </c>
    </row>
    <row r="277" spans="1:11">
      <c r="A277" s="16" t="s">
        <v>300</v>
      </c>
      <c r="B277" s="10">
        <v>45565</v>
      </c>
      <c r="C277" s="10" t="str">
        <f>TEXT(Table2[[#This Row],[Date]],"mmm-yyyy")</f>
        <v>Sep-2024</v>
      </c>
      <c r="D277" s="7" t="s">
        <v>2</v>
      </c>
      <c r="E277" s="7" t="s">
        <v>16</v>
      </c>
      <c r="F277" s="7">
        <v>1</v>
      </c>
      <c r="G277" s="13">
        <v>33279</v>
      </c>
      <c r="H277" s="13">
        <v>27832</v>
      </c>
      <c r="I277" s="7" t="s">
        <v>17</v>
      </c>
      <c r="J277" s="14">
        <f t="shared" si="4"/>
        <v>33279</v>
      </c>
      <c r="K277" s="14">
        <f>Table2[[#This Row],[Revenue]]-Table2[[#This Row],[Expense]]</f>
        <v>5447</v>
      </c>
    </row>
    <row r="278" spans="1:11">
      <c r="A278" s="16" t="s">
        <v>301</v>
      </c>
      <c r="B278" s="10">
        <v>45568</v>
      </c>
      <c r="C278" s="10" t="str">
        <f>TEXT(Table2[[#This Row],[Date]],"mmm-yyyy")</f>
        <v>Oct-2024</v>
      </c>
      <c r="D278" s="7" t="s">
        <v>4</v>
      </c>
      <c r="E278" s="7" t="s">
        <v>22</v>
      </c>
      <c r="F278" s="7">
        <v>5</v>
      </c>
      <c r="G278" s="13">
        <v>26423</v>
      </c>
      <c r="H278" s="13">
        <v>37068</v>
      </c>
      <c r="I278" s="7" t="s">
        <v>17</v>
      </c>
      <c r="J278" s="14">
        <f t="shared" si="4"/>
        <v>132115</v>
      </c>
      <c r="K278" s="14">
        <f>Table2[[#This Row],[Revenue]]-Table2[[#This Row],[Expense]]</f>
        <v>95047</v>
      </c>
    </row>
    <row r="279" spans="1:11">
      <c r="A279" s="16" t="s">
        <v>302</v>
      </c>
      <c r="B279" s="10">
        <v>45568</v>
      </c>
      <c r="C279" s="10" t="str">
        <f>TEXT(Table2[[#This Row],[Date]],"mmm-yyyy")</f>
        <v>Oct-2024</v>
      </c>
      <c r="D279" s="7" t="s">
        <v>15</v>
      </c>
      <c r="E279" s="7" t="s">
        <v>16</v>
      </c>
      <c r="F279" s="7">
        <v>5</v>
      </c>
      <c r="G279" s="13">
        <v>48184</v>
      </c>
      <c r="H279" s="13">
        <v>10752</v>
      </c>
      <c r="I279" s="7" t="s">
        <v>17</v>
      </c>
      <c r="J279" s="14">
        <f t="shared" si="4"/>
        <v>240920</v>
      </c>
      <c r="K279" s="14">
        <f>Table2[[#This Row],[Revenue]]-Table2[[#This Row],[Expense]]</f>
        <v>230168</v>
      </c>
    </row>
    <row r="280" spans="1:11">
      <c r="A280" s="16" t="s">
        <v>303</v>
      </c>
      <c r="B280" s="10">
        <v>45568</v>
      </c>
      <c r="C280" s="10" t="str">
        <f>TEXT(Table2[[#This Row],[Date]],"mmm-yyyy")</f>
        <v>Oct-2024</v>
      </c>
      <c r="D280" s="7" t="s">
        <v>4</v>
      </c>
      <c r="E280" s="7" t="s">
        <v>27</v>
      </c>
      <c r="F280" s="7">
        <v>5</v>
      </c>
      <c r="G280" s="13">
        <v>39779</v>
      </c>
      <c r="H280" s="13">
        <v>13763</v>
      </c>
      <c r="I280" s="7" t="s">
        <v>17</v>
      </c>
      <c r="J280" s="14">
        <f t="shared" si="4"/>
        <v>198895</v>
      </c>
      <c r="K280" s="14">
        <f>Table2[[#This Row],[Revenue]]-Table2[[#This Row],[Expense]]</f>
        <v>185132</v>
      </c>
    </row>
    <row r="281" spans="1:11">
      <c r="A281" s="16" t="s">
        <v>304</v>
      </c>
      <c r="B281" s="10">
        <v>45571</v>
      </c>
      <c r="C281" s="10" t="str">
        <f>TEXT(Table2[[#This Row],[Date]],"mmm-yyyy")</f>
        <v>Oct-2024</v>
      </c>
      <c r="D281" s="7" t="s">
        <v>3</v>
      </c>
      <c r="E281" s="7" t="s">
        <v>27</v>
      </c>
      <c r="F281" s="7">
        <v>8</v>
      </c>
      <c r="G281" s="13">
        <v>71531</v>
      </c>
      <c r="H281" s="13">
        <v>43092</v>
      </c>
      <c r="I281" s="7" t="s">
        <v>19</v>
      </c>
      <c r="J281" s="14">
        <f t="shared" si="4"/>
        <v>572248</v>
      </c>
      <c r="K281" s="14">
        <f>Table2[[#This Row],[Revenue]]-Table2[[#This Row],[Expense]]</f>
        <v>529156</v>
      </c>
    </row>
    <row r="282" spans="1:11">
      <c r="A282" s="16" t="s">
        <v>305</v>
      </c>
      <c r="B282" s="10">
        <v>45571</v>
      </c>
      <c r="C282" s="10" t="str">
        <f>TEXT(Table2[[#This Row],[Date]],"mmm-yyyy")</f>
        <v>Oct-2024</v>
      </c>
      <c r="D282" s="7" t="s">
        <v>15</v>
      </c>
      <c r="E282" s="7" t="s">
        <v>24</v>
      </c>
      <c r="F282" s="7">
        <v>1</v>
      </c>
      <c r="G282" s="13">
        <v>78713</v>
      </c>
      <c r="H282" s="13">
        <v>31651</v>
      </c>
      <c r="I282" s="7" t="s">
        <v>19</v>
      </c>
      <c r="J282" s="14">
        <f t="shared" si="4"/>
        <v>78713</v>
      </c>
      <c r="K282" s="14">
        <f>Table2[[#This Row],[Revenue]]-Table2[[#This Row],[Expense]]</f>
        <v>47062</v>
      </c>
    </row>
    <row r="283" spans="1:11">
      <c r="A283" s="16" t="s">
        <v>306</v>
      </c>
      <c r="B283" s="10">
        <v>45571</v>
      </c>
      <c r="C283" s="10" t="str">
        <f>TEXT(Table2[[#This Row],[Date]],"mmm-yyyy")</f>
        <v>Oct-2024</v>
      </c>
      <c r="D283" s="7" t="s">
        <v>4</v>
      </c>
      <c r="E283" s="7" t="s">
        <v>27</v>
      </c>
      <c r="F283" s="7">
        <v>5</v>
      </c>
      <c r="G283" s="13">
        <v>58366</v>
      </c>
      <c r="H283" s="13">
        <v>33602</v>
      </c>
      <c r="I283" s="7" t="s">
        <v>36</v>
      </c>
      <c r="J283" s="14">
        <f t="shared" si="4"/>
        <v>291830</v>
      </c>
      <c r="K283" s="14">
        <f>Table2[[#This Row],[Revenue]]-Table2[[#This Row],[Expense]]</f>
        <v>258228</v>
      </c>
    </row>
    <row r="284" spans="1:11">
      <c r="A284" s="16" t="s">
        <v>307</v>
      </c>
      <c r="B284" s="10">
        <v>45571</v>
      </c>
      <c r="C284" s="10" t="str">
        <f>TEXT(Table2[[#This Row],[Date]],"mmm-yyyy")</f>
        <v>Oct-2024</v>
      </c>
      <c r="D284" s="7" t="s">
        <v>2</v>
      </c>
      <c r="E284" s="7" t="s">
        <v>16</v>
      </c>
      <c r="F284" s="7">
        <v>8</v>
      </c>
      <c r="G284" s="13">
        <v>28544</v>
      </c>
      <c r="H284" s="13">
        <v>9179</v>
      </c>
      <c r="I284" s="7" t="s">
        <v>19</v>
      </c>
      <c r="J284" s="14">
        <f t="shared" si="4"/>
        <v>228352</v>
      </c>
      <c r="K284" s="14">
        <f>Table2[[#This Row],[Revenue]]-Table2[[#This Row],[Expense]]</f>
        <v>219173</v>
      </c>
    </row>
    <row r="285" spans="1:11">
      <c r="A285" s="16" t="s">
        <v>308</v>
      </c>
      <c r="B285" s="10">
        <v>45572</v>
      </c>
      <c r="C285" s="10" t="str">
        <f>TEXT(Table2[[#This Row],[Date]],"mmm-yyyy")</f>
        <v>Oct-2024</v>
      </c>
      <c r="D285" s="7" t="s">
        <v>15</v>
      </c>
      <c r="E285" s="7" t="s">
        <v>16</v>
      </c>
      <c r="F285" s="7">
        <v>4</v>
      </c>
      <c r="G285" s="13">
        <v>78294</v>
      </c>
      <c r="H285" s="13">
        <v>34209</v>
      </c>
      <c r="I285" s="7" t="s">
        <v>19</v>
      </c>
      <c r="J285" s="14">
        <f t="shared" si="4"/>
        <v>313176</v>
      </c>
      <c r="K285" s="14">
        <f>Table2[[#This Row],[Revenue]]-Table2[[#This Row],[Expense]]</f>
        <v>278967</v>
      </c>
    </row>
    <row r="286" spans="1:11">
      <c r="A286" s="16" t="s">
        <v>309</v>
      </c>
      <c r="B286" s="10">
        <v>45574</v>
      </c>
      <c r="C286" s="10" t="str">
        <f>TEXT(Table2[[#This Row],[Date]],"mmm-yyyy")</f>
        <v>Oct-2024</v>
      </c>
      <c r="D286" s="7" t="s">
        <v>2</v>
      </c>
      <c r="E286" s="7" t="s">
        <v>32</v>
      </c>
      <c r="F286" s="7">
        <v>4</v>
      </c>
      <c r="G286" s="13">
        <v>10606</v>
      </c>
      <c r="H286" s="13">
        <v>26279</v>
      </c>
      <c r="I286" s="7" t="s">
        <v>36</v>
      </c>
      <c r="J286" s="14">
        <f t="shared" si="4"/>
        <v>42424</v>
      </c>
      <c r="K286" s="14">
        <f>Table2[[#This Row],[Revenue]]-Table2[[#This Row],[Expense]]</f>
        <v>16145</v>
      </c>
    </row>
    <row r="287" spans="1:11">
      <c r="A287" s="16" t="s">
        <v>310</v>
      </c>
      <c r="B287" s="10">
        <v>45574</v>
      </c>
      <c r="C287" s="10" t="str">
        <f>TEXT(Table2[[#This Row],[Date]],"mmm-yyyy")</f>
        <v>Oct-2024</v>
      </c>
      <c r="D287" s="7" t="s">
        <v>1</v>
      </c>
      <c r="E287" s="7" t="s">
        <v>32</v>
      </c>
      <c r="F287" s="7">
        <v>3</v>
      </c>
      <c r="G287" s="13">
        <v>36085</v>
      </c>
      <c r="H287" s="13">
        <v>37768</v>
      </c>
      <c r="I287" s="7" t="s">
        <v>19</v>
      </c>
      <c r="J287" s="14">
        <f t="shared" si="4"/>
        <v>108255</v>
      </c>
      <c r="K287" s="14">
        <f>Table2[[#This Row],[Revenue]]-Table2[[#This Row],[Expense]]</f>
        <v>70487</v>
      </c>
    </row>
    <row r="288" spans="1:11">
      <c r="A288" s="16" t="s">
        <v>311</v>
      </c>
      <c r="B288" s="10">
        <v>45574</v>
      </c>
      <c r="C288" s="10" t="str">
        <f>TEXT(Table2[[#This Row],[Date]],"mmm-yyyy")</f>
        <v>Oct-2024</v>
      </c>
      <c r="D288" s="7" t="s">
        <v>4</v>
      </c>
      <c r="E288" s="7" t="s">
        <v>24</v>
      </c>
      <c r="F288" s="7">
        <v>6</v>
      </c>
      <c r="G288" s="13">
        <v>43033</v>
      </c>
      <c r="H288" s="13">
        <v>47037</v>
      </c>
      <c r="I288" s="7" t="s">
        <v>17</v>
      </c>
      <c r="J288" s="14">
        <f t="shared" si="4"/>
        <v>258198</v>
      </c>
      <c r="K288" s="14">
        <f>Table2[[#This Row],[Revenue]]-Table2[[#This Row],[Expense]]</f>
        <v>211161</v>
      </c>
    </row>
    <row r="289" spans="1:11">
      <c r="A289" s="16" t="s">
        <v>312</v>
      </c>
      <c r="B289" s="10">
        <v>45575</v>
      </c>
      <c r="C289" s="10" t="str">
        <f>TEXT(Table2[[#This Row],[Date]],"mmm-yyyy")</f>
        <v>Oct-2024</v>
      </c>
      <c r="D289" s="7" t="s">
        <v>15</v>
      </c>
      <c r="E289" s="7" t="s">
        <v>27</v>
      </c>
      <c r="F289" s="7">
        <v>2</v>
      </c>
      <c r="G289" s="13">
        <v>69119</v>
      </c>
      <c r="H289" s="13">
        <v>38766</v>
      </c>
      <c r="I289" s="7" t="s">
        <v>19</v>
      </c>
      <c r="J289" s="14">
        <f t="shared" si="4"/>
        <v>138238</v>
      </c>
      <c r="K289" s="14">
        <f>Table2[[#This Row],[Revenue]]-Table2[[#This Row],[Expense]]</f>
        <v>99472</v>
      </c>
    </row>
    <row r="290" spans="1:11">
      <c r="A290" s="16" t="s">
        <v>313</v>
      </c>
      <c r="B290" s="10">
        <v>45575</v>
      </c>
      <c r="C290" s="10" t="str">
        <f>TEXT(Table2[[#This Row],[Date]],"mmm-yyyy")</f>
        <v>Oct-2024</v>
      </c>
      <c r="D290" s="7" t="s">
        <v>1</v>
      </c>
      <c r="E290" s="7" t="s">
        <v>22</v>
      </c>
      <c r="F290" s="7">
        <v>6</v>
      </c>
      <c r="G290" s="13">
        <v>56422</v>
      </c>
      <c r="H290" s="13">
        <v>29047</v>
      </c>
      <c r="I290" s="7" t="s">
        <v>17</v>
      </c>
      <c r="J290" s="14">
        <f t="shared" si="4"/>
        <v>338532</v>
      </c>
      <c r="K290" s="14">
        <f>Table2[[#This Row],[Revenue]]-Table2[[#This Row],[Expense]]</f>
        <v>309485</v>
      </c>
    </row>
    <row r="291" spans="1:11">
      <c r="A291" s="16" t="s">
        <v>314</v>
      </c>
      <c r="B291" s="10">
        <v>45575</v>
      </c>
      <c r="C291" s="10" t="str">
        <f>TEXT(Table2[[#This Row],[Date]],"mmm-yyyy")</f>
        <v>Oct-2024</v>
      </c>
      <c r="D291" s="7" t="s">
        <v>3</v>
      </c>
      <c r="E291" s="7" t="s">
        <v>22</v>
      </c>
      <c r="F291" s="7">
        <v>1</v>
      </c>
      <c r="G291" s="13">
        <v>61563</v>
      </c>
      <c r="H291" s="13">
        <v>37116</v>
      </c>
      <c r="I291" s="7" t="s">
        <v>30</v>
      </c>
      <c r="J291" s="14">
        <f t="shared" si="4"/>
        <v>61563</v>
      </c>
      <c r="K291" s="14">
        <f>Table2[[#This Row],[Revenue]]-Table2[[#This Row],[Expense]]</f>
        <v>24447</v>
      </c>
    </row>
    <row r="292" spans="1:11">
      <c r="A292" s="16" t="s">
        <v>315</v>
      </c>
      <c r="B292" s="10">
        <v>45577</v>
      </c>
      <c r="C292" s="10" t="str">
        <f>TEXT(Table2[[#This Row],[Date]],"mmm-yyyy")</f>
        <v>Oct-2024</v>
      </c>
      <c r="D292" s="7" t="s">
        <v>15</v>
      </c>
      <c r="E292" s="7" t="s">
        <v>32</v>
      </c>
      <c r="F292" s="7">
        <v>3</v>
      </c>
      <c r="G292" s="13">
        <v>19252</v>
      </c>
      <c r="H292" s="13">
        <v>42800</v>
      </c>
      <c r="I292" s="7" t="s">
        <v>19</v>
      </c>
      <c r="J292" s="14">
        <f t="shared" si="4"/>
        <v>57756</v>
      </c>
      <c r="K292" s="14">
        <f>Table2[[#This Row],[Revenue]]-Table2[[#This Row],[Expense]]</f>
        <v>14956</v>
      </c>
    </row>
    <row r="293" spans="1:11">
      <c r="A293" s="16" t="s">
        <v>316</v>
      </c>
      <c r="B293" s="10">
        <v>45577</v>
      </c>
      <c r="C293" s="10" t="str">
        <f>TEXT(Table2[[#This Row],[Date]],"mmm-yyyy")</f>
        <v>Oct-2024</v>
      </c>
      <c r="D293" s="7" t="s">
        <v>4</v>
      </c>
      <c r="E293" s="7" t="s">
        <v>16</v>
      </c>
      <c r="F293" s="7">
        <v>4</v>
      </c>
      <c r="G293" s="13">
        <v>24388</v>
      </c>
      <c r="H293" s="13">
        <v>42945</v>
      </c>
      <c r="I293" s="7" t="s">
        <v>36</v>
      </c>
      <c r="J293" s="14">
        <f t="shared" si="4"/>
        <v>97552</v>
      </c>
      <c r="K293" s="14">
        <f>Table2[[#This Row],[Revenue]]-Table2[[#This Row],[Expense]]</f>
        <v>54607</v>
      </c>
    </row>
    <row r="294" spans="1:11">
      <c r="A294" s="16" t="s">
        <v>317</v>
      </c>
      <c r="B294" s="10">
        <v>45579</v>
      </c>
      <c r="C294" s="10" t="str">
        <f>TEXT(Table2[[#This Row],[Date]],"mmm-yyyy")</f>
        <v>Oct-2024</v>
      </c>
      <c r="D294" s="7" t="s">
        <v>2</v>
      </c>
      <c r="E294" s="7" t="s">
        <v>27</v>
      </c>
      <c r="F294" s="7">
        <v>5</v>
      </c>
      <c r="G294" s="13">
        <v>24411</v>
      </c>
      <c r="H294" s="13">
        <v>17843</v>
      </c>
      <c r="I294" s="7" t="s">
        <v>17</v>
      </c>
      <c r="J294" s="14">
        <f t="shared" si="4"/>
        <v>122055</v>
      </c>
      <c r="K294" s="14">
        <f>Table2[[#This Row],[Revenue]]-Table2[[#This Row],[Expense]]</f>
        <v>104212</v>
      </c>
    </row>
    <row r="295" spans="1:11">
      <c r="A295" s="16" t="s">
        <v>318</v>
      </c>
      <c r="B295" s="10">
        <v>45580</v>
      </c>
      <c r="C295" s="10" t="str">
        <f>TEXT(Table2[[#This Row],[Date]],"mmm-yyyy")</f>
        <v>Oct-2024</v>
      </c>
      <c r="D295" s="7" t="s">
        <v>15</v>
      </c>
      <c r="E295" s="7" t="s">
        <v>24</v>
      </c>
      <c r="F295" s="7">
        <v>3</v>
      </c>
      <c r="G295" s="13">
        <v>49604</v>
      </c>
      <c r="H295" s="13">
        <v>46253</v>
      </c>
      <c r="I295" s="7" t="s">
        <v>19</v>
      </c>
      <c r="J295" s="14">
        <f t="shared" si="4"/>
        <v>148812</v>
      </c>
      <c r="K295" s="14">
        <f>Table2[[#This Row],[Revenue]]-Table2[[#This Row],[Expense]]</f>
        <v>102559</v>
      </c>
    </row>
    <row r="296" spans="1:11">
      <c r="A296" s="16" t="s">
        <v>319</v>
      </c>
      <c r="B296" s="10">
        <v>45580</v>
      </c>
      <c r="C296" s="10" t="str">
        <f>TEXT(Table2[[#This Row],[Date]],"mmm-yyyy")</f>
        <v>Oct-2024</v>
      </c>
      <c r="D296" s="7" t="s">
        <v>3</v>
      </c>
      <c r="E296" s="7" t="s">
        <v>27</v>
      </c>
      <c r="F296" s="7">
        <v>2</v>
      </c>
      <c r="G296" s="13">
        <v>25931</v>
      </c>
      <c r="H296" s="13">
        <v>17154</v>
      </c>
      <c r="I296" s="7" t="s">
        <v>17</v>
      </c>
      <c r="J296" s="14">
        <f t="shared" si="4"/>
        <v>51862</v>
      </c>
      <c r="K296" s="14">
        <f>Table2[[#This Row],[Revenue]]-Table2[[#This Row],[Expense]]</f>
        <v>34708</v>
      </c>
    </row>
    <row r="297" spans="1:11">
      <c r="A297" s="16" t="s">
        <v>320</v>
      </c>
      <c r="B297" s="10">
        <v>45584</v>
      </c>
      <c r="C297" s="10" t="str">
        <f>TEXT(Table2[[#This Row],[Date]],"mmm-yyyy")</f>
        <v>Oct-2024</v>
      </c>
      <c r="D297" s="7" t="s">
        <v>4</v>
      </c>
      <c r="E297" s="7" t="s">
        <v>16</v>
      </c>
      <c r="F297" s="7">
        <v>5</v>
      </c>
      <c r="G297" s="13">
        <v>32410</v>
      </c>
      <c r="H297" s="13">
        <v>29272</v>
      </c>
      <c r="I297" s="7" t="s">
        <v>17</v>
      </c>
      <c r="J297" s="14">
        <f t="shared" si="4"/>
        <v>162050</v>
      </c>
      <c r="K297" s="14">
        <f>Table2[[#This Row],[Revenue]]-Table2[[#This Row],[Expense]]</f>
        <v>132778</v>
      </c>
    </row>
    <row r="298" spans="1:11">
      <c r="A298" s="16" t="s">
        <v>321</v>
      </c>
      <c r="B298" s="10">
        <v>45585</v>
      </c>
      <c r="C298" s="10" t="str">
        <f>TEXT(Table2[[#This Row],[Date]],"mmm-yyyy")</f>
        <v>Oct-2024</v>
      </c>
      <c r="D298" s="7" t="s">
        <v>1</v>
      </c>
      <c r="E298" s="7" t="s">
        <v>32</v>
      </c>
      <c r="F298" s="7">
        <v>9</v>
      </c>
      <c r="G298" s="13">
        <v>72960</v>
      </c>
      <c r="H298" s="13">
        <v>30725</v>
      </c>
      <c r="I298" s="7" t="s">
        <v>30</v>
      </c>
      <c r="J298" s="14">
        <f t="shared" si="4"/>
        <v>656640</v>
      </c>
      <c r="K298" s="14">
        <f>Table2[[#This Row],[Revenue]]-Table2[[#This Row],[Expense]]</f>
        <v>625915</v>
      </c>
    </row>
    <row r="299" spans="1:11">
      <c r="A299" s="16" t="s">
        <v>322</v>
      </c>
      <c r="B299" s="10">
        <v>45585</v>
      </c>
      <c r="C299" s="10" t="str">
        <f>TEXT(Table2[[#This Row],[Date]],"mmm-yyyy")</f>
        <v>Oct-2024</v>
      </c>
      <c r="D299" s="7" t="s">
        <v>15</v>
      </c>
      <c r="E299" s="7" t="s">
        <v>32</v>
      </c>
      <c r="F299" s="7">
        <v>9</v>
      </c>
      <c r="G299" s="13">
        <v>35762</v>
      </c>
      <c r="H299" s="13">
        <v>25487</v>
      </c>
      <c r="I299" s="7" t="s">
        <v>19</v>
      </c>
      <c r="J299" s="14">
        <f t="shared" si="4"/>
        <v>321858</v>
      </c>
      <c r="K299" s="14">
        <f>Table2[[#This Row],[Revenue]]-Table2[[#This Row],[Expense]]</f>
        <v>296371</v>
      </c>
    </row>
    <row r="300" spans="1:11">
      <c r="A300" s="16" t="s">
        <v>323</v>
      </c>
      <c r="B300" s="10">
        <v>45586</v>
      </c>
      <c r="C300" s="10" t="str">
        <f>TEXT(Table2[[#This Row],[Date]],"mmm-yyyy")</f>
        <v>Oct-2024</v>
      </c>
      <c r="D300" s="7" t="s">
        <v>4</v>
      </c>
      <c r="E300" s="7" t="s">
        <v>27</v>
      </c>
      <c r="F300" s="7">
        <v>4</v>
      </c>
      <c r="G300" s="13">
        <v>52630</v>
      </c>
      <c r="H300" s="13">
        <v>25259</v>
      </c>
      <c r="I300" s="7" t="s">
        <v>19</v>
      </c>
      <c r="J300" s="14">
        <f t="shared" si="4"/>
        <v>210520</v>
      </c>
      <c r="K300" s="14">
        <f>Table2[[#This Row],[Revenue]]-Table2[[#This Row],[Expense]]</f>
        <v>185261</v>
      </c>
    </row>
    <row r="301" spans="1:11">
      <c r="A301" s="16" t="s">
        <v>324</v>
      </c>
      <c r="B301" s="10">
        <v>45587</v>
      </c>
      <c r="C301" s="10" t="str">
        <f>TEXT(Table2[[#This Row],[Date]],"mmm-yyyy")</f>
        <v>Oct-2024</v>
      </c>
      <c r="D301" s="7" t="s">
        <v>2</v>
      </c>
      <c r="E301" s="7" t="s">
        <v>32</v>
      </c>
      <c r="F301" s="7">
        <v>5</v>
      </c>
      <c r="G301" s="13">
        <v>48868</v>
      </c>
      <c r="H301" s="13">
        <v>15226</v>
      </c>
      <c r="I301" s="7" t="s">
        <v>36</v>
      </c>
      <c r="J301" s="14">
        <f t="shared" si="4"/>
        <v>244340</v>
      </c>
      <c r="K301" s="14">
        <f>Table2[[#This Row],[Revenue]]-Table2[[#This Row],[Expense]]</f>
        <v>229114</v>
      </c>
    </row>
    <row r="302" spans="1:11">
      <c r="A302" s="16" t="s">
        <v>325</v>
      </c>
      <c r="B302" s="10">
        <v>45589</v>
      </c>
      <c r="C302" s="10" t="str">
        <f>TEXT(Table2[[#This Row],[Date]],"mmm-yyyy")</f>
        <v>Oct-2024</v>
      </c>
      <c r="D302" s="7" t="s">
        <v>2</v>
      </c>
      <c r="E302" s="7" t="s">
        <v>32</v>
      </c>
      <c r="F302" s="7">
        <v>6</v>
      </c>
      <c r="G302" s="13">
        <v>76873</v>
      </c>
      <c r="H302" s="13">
        <v>33658</v>
      </c>
      <c r="I302" s="7" t="s">
        <v>30</v>
      </c>
      <c r="J302" s="14">
        <f t="shared" si="4"/>
        <v>461238</v>
      </c>
      <c r="K302" s="14">
        <f>Table2[[#This Row],[Revenue]]-Table2[[#This Row],[Expense]]</f>
        <v>427580</v>
      </c>
    </row>
    <row r="303" spans="1:11">
      <c r="A303" s="16" t="s">
        <v>326</v>
      </c>
      <c r="B303" s="10">
        <v>45592</v>
      </c>
      <c r="C303" s="10" t="str">
        <f>TEXT(Table2[[#This Row],[Date]],"mmm-yyyy")</f>
        <v>Oct-2024</v>
      </c>
      <c r="D303" s="7" t="s">
        <v>4</v>
      </c>
      <c r="E303" s="7" t="s">
        <v>16</v>
      </c>
      <c r="F303" s="7">
        <v>1</v>
      </c>
      <c r="G303" s="13">
        <v>76653</v>
      </c>
      <c r="H303" s="13">
        <v>6469</v>
      </c>
      <c r="I303" s="7" t="s">
        <v>30</v>
      </c>
      <c r="J303" s="14">
        <f t="shared" si="4"/>
        <v>76653</v>
      </c>
      <c r="K303" s="14">
        <f>Table2[[#This Row],[Revenue]]-Table2[[#This Row],[Expense]]</f>
        <v>70184</v>
      </c>
    </row>
    <row r="304" spans="1:11">
      <c r="A304" s="16" t="s">
        <v>327</v>
      </c>
      <c r="B304" s="10">
        <v>45593</v>
      </c>
      <c r="C304" s="10" t="str">
        <f>TEXT(Table2[[#This Row],[Date]],"mmm-yyyy")</f>
        <v>Oct-2024</v>
      </c>
      <c r="D304" s="7" t="s">
        <v>3</v>
      </c>
      <c r="E304" s="7" t="s">
        <v>27</v>
      </c>
      <c r="F304" s="7">
        <v>1</v>
      </c>
      <c r="G304" s="13">
        <v>58779</v>
      </c>
      <c r="H304" s="13">
        <v>28516</v>
      </c>
      <c r="I304" s="7" t="s">
        <v>30</v>
      </c>
      <c r="J304" s="14">
        <f t="shared" si="4"/>
        <v>58779</v>
      </c>
      <c r="K304" s="14">
        <f>Table2[[#This Row],[Revenue]]-Table2[[#This Row],[Expense]]</f>
        <v>30263</v>
      </c>
    </row>
    <row r="305" spans="1:11">
      <c r="A305" s="16" t="s">
        <v>328</v>
      </c>
      <c r="B305" s="10">
        <v>45595</v>
      </c>
      <c r="C305" s="10" t="str">
        <f>TEXT(Table2[[#This Row],[Date]],"mmm-yyyy")</f>
        <v>Oct-2024</v>
      </c>
      <c r="D305" s="7" t="s">
        <v>1</v>
      </c>
      <c r="E305" s="7" t="s">
        <v>27</v>
      </c>
      <c r="F305" s="7">
        <v>9</v>
      </c>
      <c r="G305" s="13">
        <v>44639</v>
      </c>
      <c r="H305" s="13">
        <v>7643</v>
      </c>
      <c r="I305" s="7" t="s">
        <v>17</v>
      </c>
      <c r="J305" s="14">
        <f t="shared" si="4"/>
        <v>401751</v>
      </c>
      <c r="K305" s="14">
        <f>Table2[[#This Row],[Revenue]]-Table2[[#This Row],[Expense]]</f>
        <v>394108</v>
      </c>
    </row>
    <row r="306" spans="1:11">
      <c r="A306" s="16" t="s">
        <v>329</v>
      </c>
      <c r="B306" s="10">
        <v>45595</v>
      </c>
      <c r="C306" s="10" t="str">
        <f>TEXT(Table2[[#This Row],[Date]],"mmm-yyyy")</f>
        <v>Oct-2024</v>
      </c>
      <c r="D306" s="7" t="s">
        <v>1</v>
      </c>
      <c r="E306" s="7" t="s">
        <v>27</v>
      </c>
      <c r="F306" s="7">
        <v>2</v>
      </c>
      <c r="G306" s="13">
        <v>23240</v>
      </c>
      <c r="H306" s="13">
        <v>41846</v>
      </c>
      <c r="I306" s="7" t="s">
        <v>17</v>
      </c>
      <c r="J306" s="14">
        <f t="shared" si="4"/>
        <v>46480</v>
      </c>
      <c r="K306" s="14">
        <f>Table2[[#This Row],[Revenue]]-Table2[[#This Row],[Expense]]</f>
        <v>4634</v>
      </c>
    </row>
    <row r="307" spans="1:11">
      <c r="A307" s="16" t="s">
        <v>330</v>
      </c>
      <c r="B307" s="10">
        <v>45595</v>
      </c>
      <c r="C307" s="10" t="str">
        <f>TEXT(Table2[[#This Row],[Date]],"mmm-yyyy")</f>
        <v>Oct-2024</v>
      </c>
      <c r="D307" s="7" t="s">
        <v>2</v>
      </c>
      <c r="E307" s="7" t="s">
        <v>24</v>
      </c>
      <c r="F307" s="7">
        <v>3</v>
      </c>
      <c r="G307" s="13">
        <v>70831</v>
      </c>
      <c r="H307" s="13">
        <v>15721</v>
      </c>
      <c r="I307" s="7" t="s">
        <v>19</v>
      </c>
      <c r="J307" s="14">
        <f t="shared" si="4"/>
        <v>212493</v>
      </c>
      <c r="K307" s="14">
        <f>Table2[[#This Row],[Revenue]]-Table2[[#This Row],[Expense]]</f>
        <v>196772</v>
      </c>
    </row>
    <row r="308" spans="1:11">
      <c r="A308" s="16" t="s">
        <v>331</v>
      </c>
      <c r="B308" s="10">
        <v>45595</v>
      </c>
      <c r="C308" s="10" t="str">
        <f>TEXT(Table2[[#This Row],[Date]],"mmm-yyyy")</f>
        <v>Oct-2024</v>
      </c>
      <c r="D308" s="7" t="s">
        <v>2</v>
      </c>
      <c r="E308" s="7" t="s">
        <v>22</v>
      </c>
      <c r="F308" s="7">
        <v>5</v>
      </c>
      <c r="G308" s="13">
        <v>30611</v>
      </c>
      <c r="H308" s="13">
        <v>44360</v>
      </c>
      <c r="I308" s="7" t="s">
        <v>19</v>
      </c>
      <c r="J308" s="14">
        <f t="shared" si="4"/>
        <v>153055</v>
      </c>
      <c r="K308" s="14">
        <f>Table2[[#This Row],[Revenue]]-Table2[[#This Row],[Expense]]</f>
        <v>108695</v>
      </c>
    </row>
    <row r="309" spans="1:11">
      <c r="A309" s="16" t="s">
        <v>332</v>
      </c>
      <c r="B309" s="10">
        <v>45595</v>
      </c>
      <c r="C309" s="10" t="str">
        <f>TEXT(Table2[[#This Row],[Date]],"mmm-yyyy")</f>
        <v>Oct-2024</v>
      </c>
      <c r="D309" s="7" t="s">
        <v>3</v>
      </c>
      <c r="E309" s="7" t="s">
        <v>24</v>
      </c>
      <c r="F309" s="7">
        <v>5</v>
      </c>
      <c r="G309" s="13">
        <v>26689</v>
      </c>
      <c r="H309" s="13">
        <v>19099</v>
      </c>
      <c r="I309" s="7" t="s">
        <v>36</v>
      </c>
      <c r="J309" s="14">
        <f t="shared" si="4"/>
        <v>133445</v>
      </c>
      <c r="K309" s="14">
        <f>Table2[[#This Row],[Revenue]]-Table2[[#This Row],[Expense]]</f>
        <v>114346</v>
      </c>
    </row>
    <row r="310" spans="1:11">
      <c r="A310" s="16" t="s">
        <v>333</v>
      </c>
      <c r="B310" s="10">
        <v>45598</v>
      </c>
      <c r="C310" s="10" t="str">
        <f>TEXT(Table2[[#This Row],[Date]],"mmm-yyyy")</f>
        <v>Nov-2024</v>
      </c>
      <c r="D310" s="7" t="s">
        <v>2</v>
      </c>
      <c r="E310" s="7" t="s">
        <v>24</v>
      </c>
      <c r="F310" s="7">
        <v>1</v>
      </c>
      <c r="G310" s="13">
        <v>36131</v>
      </c>
      <c r="H310" s="13">
        <v>48701</v>
      </c>
      <c r="I310" s="7" t="s">
        <v>17</v>
      </c>
      <c r="J310" s="14">
        <f t="shared" si="4"/>
        <v>36131</v>
      </c>
      <c r="K310" s="14">
        <f>Table2[[#This Row],[Revenue]]-Table2[[#This Row],[Expense]]</f>
        <v>-12570</v>
      </c>
    </row>
    <row r="311" spans="1:11">
      <c r="A311" s="16" t="s">
        <v>334</v>
      </c>
      <c r="B311" s="10">
        <v>45598</v>
      </c>
      <c r="C311" s="10" t="str">
        <f>TEXT(Table2[[#This Row],[Date]],"mmm-yyyy")</f>
        <v>Nov-2024</v>
      </c>
      <c r="D311" s="7" t="s">
        <v>26</v>
      </c>
      <c r="E311" s="7" t="s">
        <v>16</v>
      </c>
      <c r="F311" s="7">
        <v>3</v>
      </c>
      <c r="G311" s="13">
        <v>12829</v>
      </c>
      <c r="H311" s="13">
        <v>23669</v>
      </c>
      <c r="I311" s="7" t="s">
        <v>36</v>
      </c>
      <c r="J311" s="14">
        <f t="shared" si="4"/>
        <v>38487</v>
      </c>
      <c r="K311" s="14">
        <f>Table2[[#This Row],[Revenue]]-Table2[[#This Row],[Expense]]</f>
        <v>14818</v>
      </c>
    </row>
    <row r="312" spans="1:11">
      <c r="A312" s="16" t="s">
        <v>335</v>
      </c>
      <c r="B312" s="10">
        <v>45599</v>
      </c>
      <c r="C312" s="10" t="str">
        <f>TEXT(Table2[[#This Row],[Date]],"mmm-yyyy")</f>
        <v>Nov-2024</v>
      </c>
      <c r="D312" s="7" t="s">
        <v>15</v>
      </c>
      <c r="E312" s="7" t="s">
        <v>22</v>
      </c>
      <c r="F312" s="7">
        <v>6</v>
      </c>
      <c r="G312" s="13">
        <v>43608</v>
      </c>
      <c r="H312" s="13">
        <v>30118</v>
      </c>
      <c r="I312" s="7" t="s">
        <v>30</v>
      </c>
      <c r="J312" s="14">
        <f t="shared" si="4"/>
        <v>261648</v>
      </c>
      <c r="K312" s="14">
        <f>Table2[[#This Row],[Revenue]]-Table2[[#This Row],[Expense]]</f>
        <v>231530</v>
      </c>
    </row>
    <row r="313" spans="1:11">
      <c r="A313" s="16" t="s">
        <v>336</v>
      </c>
      <c r="B313" s="10">
        <v>45600</v>
      </c>
      <c r="C313" s="10" t="str">
        <f>TEXT(Table2[[#This Row],[Date]],"mmm-yyyy")</f>
        <v>Nov-2024</v>
      </c>
      <c r="D313" s="7" t="s">
        <v>2</v>
      </c>
      <c r="E313" s="7" t="s">
        <v>24</v>
      </c>
      <c r="F313" s="7">
        <v>6</v>
      </c>
      <c r="G313" s="13">
        <v>70069</v>
      </c>
      <c r="H313" s="13">
        <v>9706</v>
      </c>
      <c r="I313" s="7" t="s">
        <v>30</v>
      </c>
      <c r="J313" s="14">
        <f t="shared" si="4"/>
        <v>420414</v>
      </c>
      <c r="K313" s="14">
        <f>Table2[[#This Row],[Revenue]]-Table2[[#This Row],[Expense]]</f>
        <v>410708</v>
      </c>
    </row>
    <row r="314" spans="1:11">
      <c r="A314" s="16" t="s">
        <v>337</v>
      </c>
      <c r="B314" s="10">
        <v>45601</v>
      </c>
      <c r="C314" s="10" t="str">
        <f>TEXT(Table2[[#This Row],[Date]],"mmm-yyyy")</f>
        <v>Nov-2024</v>
      </c>
      <c r="D314" s="7" t="s">
        <v>2</v>
      </c>
      <c r="E314" s="7" t="s">
        <v>27</v>
      </c>
      <c r="F314" s="7">
        <v>9</v>
      </c>
      <c r="G314" s="13">
        <v>58216</v>
      </c>
      <c r="H314" s="13">
        <v>38804</v>
      </c>
      <c r="I314" s="7" t="s">
        <v>19</v>
      </c>
      <c r="J314" s="14">
        <f t="shared" si="4"/>
        <v>523944</v>
      </c>
      <c r="K314" s="14">
        <f>Table2[[#This Row],[Revenue]]-Table2[[#This Row],[Expense]]</f>
        <v>485140</v>
      </c>
    </row>
    <row r="315" spans="1:11">
      <c r="A315" s="16" t="s">
        <v>338</v>
      </c>
      <c r="B315" s="10">
        <v>45601</v>
      </c>
      <c r="C315" s="10" t="str">
        <f>TEXT(Table2[[#This Row],[Date]],"mmm-yyyy")</f>
        <v>Nov-2024</v>
      </c>
      <c r="D315" s="7" t="s">
        <v>15</v>
      </c>
      <c r="E315" s="7" t="s">
        <v>32</v>
      </c>
      <c r="F315" s="7">
        <v>2</v>
      </c>
      <c r="G315" s="13">
        <v>29171</v>
      </c>
      <c r="H315" s="13">
        <v>43870</v>
      </c>
      <c r="I315" s="7" t="s">
        <v>19</v>
      </c>
      <c r="J315" s="14">
        <f t="shared" si="4"/>
        <v>58342</v>
      </c>
      <c r="K315" s="14">
        <f>Table2[[#This Row],[Revenue]]-Table2[[#This Row],[Expense]]</f>
        <v>14472</v>
      </c>
    </row>
    <row r="316" spans="1:11">
      <c r="A316" s="16" t="s">
        <v>339</v>
      </c>
      <c r="B316" s="10">
        <v>45605</v>
      </c>
      <c r="C316" s="10" t="str">
        <f>TEXT(Table2[[#This Row],[Date]],"mmm-yyyy")</f>
        <v>Nov-2024</v>
      </c>
      <c r="D316" s="7" t="s">
        <v>15</v>
      </c>
      <c r="E316" s="7" t="s">
        <v>16</v>
      </c>
      <c r="F316" s="7">
        <v>5</v>
      </c>
      <c r="G316" s="13">
        <v>4614</v>
      </c>
      <c r="H316" s="13">
        <v>42321</v>
      </c>
      <c r="I316" s="7" t="s">
        <v>36</v>
      </c>
      <c r="J316" s="14">
        <f t="shared" si="4"/>
        <v>23070</v>
      </c>
      <c r="K316" s="14">
        <f>Table2[[#This Row],[Revenue]]-Table2[[#This Row],[Expense]]</f>
        <v>-19251</v>
      </c>
    </row>
    <row r="317" spans="1:11">
      <c r="A317" s="16" t="s">
        <v>340</v>
      </c>
      <c r="B317" s="10">
        <v>45606</v>
      </c>
      <c r="C317" s="10" t="str">
        <f>TEXT(Table2[[#This Row],[Date]],"mmm-yyyy")</f>
        <v>Nov-2024</v>
      </c>
      <c r="D317" s="7" t="s">
        <v>4</v>
      </c>
      <c r="E317" s="7" t="s">
        <v>32</v>
      </c>
      <c r="F317" s="7">
        <v>6</v>
      </c>
      <c r="G317" s="13">
        <v>45533</v>
      </c>
      <c r="H317" s="13">
        <v>35521</v>
      </c>
      <c r="I317" s="7" t="s">
        <v>36</v>
      </c>
      <c r="J317" s="14">
        <f t="shared" si="4"/>
        <v>273198</v>
      </c>
      <c r="K317" s="14">
        <f>Table2[[#This Row],[Revenue]]-Table2[[#This Row],[Expense]]</f>
        <v>237677</v>
      </c>
    </row>
    <row r="318" spans="1:11">
      <c r="A318" s="16" t="s">
        <v>341</v>
      </c>
      <c r="B318" s="10">
        <v>45607</v>
      </c>
      <c r="C318" s="10" t="str">
        <f>TEXT(Table2[[#This Row],[Date]],"mmm-yyyy")</f>
        <v>Nov-2024</v>
      </c>
      <c r="D318" s="7" t="s">
        <v>4</v>
      </c>
      <c r="E318" s="7" t="s">
        <v>22</v>
      </c>
      <c r="F318" s="7">
        <v>3</v>
      </c>
      <c r="G318" s="13">
        <v>12056</v>
      </c>
      <c r="H318" s="13">
        <v>41372</v>
      </c>
      <c r="I318" s="7" t="s">
        <v>19</v>
      </c>
      <c r="J318" s="14">
        <f t="shared" si="4"/>
        <v>36168</v>
      </c>
      <c r="K318" s="14">
        <f>Table2[[#This Row],[Revenue]]-Table2[[#This Row],[Expense]]</f>
        <v>-5204</v>
      </c>
    </row>
    <row r="319" spans="1:11">
      <c r="A319" s="16" t="s">
        <v>342</v>
      </c>
      <c r="B319" s="10">
        <v>45608</v>
      </c>
      <c r="C319" s="10" t="str">
        <f>TEXT(Table2[[#This Row],[Date]],"mmm-yyyy")</f>
        <v>Nov-2024</v>
      </c>
      <c r="D319" s="7" t="s">
        <v>15</v>
      </c>
      <c r="E319" s="7" t="s">
        <v>22</v>
      </c>
      <c r="F319" s="7">
        <v>5</v>
      </c>
      <c r="G319" s="13">
        <v>7479</v>
      </c>
      <c r="H319" s="13">
        <v>26556</v>
      </c>
      <c r="I319" s="7" t="s">
        <v>19</v>
      </c>
      <c r="J319" s="14">
        <f t="shared" si="4"/>
        <v>37395</v>
      </c>
      <c r="K319" s="14">
        <f>Table2[[#This Row],[Revenue]]-Table2[[#This Row],[Expense]]</f>
        <v>10839</v>
      </c>
    </row>
    <row r="320" spans="1:11">
      <c r="A320" s="16" t="s">
        <v>343</v>
      </c>
      <c r="B320" s="10">
        <v>45609</v>
      </c>
      <c r="C320" s="10" t="str">
        <f>TEXT(Table2[[#This Row],[Date]],"mmm-yyyy")</f>
        <v>Nov-2024</v>
      </c>
      <c r="D320" s="7" t="s">
        <v>2</v>
      </c>
      <c r="E320" s="7" t="s">
        <v>22</v>
      </c>
      <c r="F320" s="7">
        <v>5</v>
      </c>
      <c r="G320" s="13">
        <v>71471</v>
      </c>
      <c r="H320" s="13">
        <v>3539</v>
      </c>
      <c r="I320" s="7" t="s">
        <v>19</v>
      </c>
      <c r="J320" s="14">
        <f t="shared" si="4"/>
        <v>357355</v>
      </c>
      <c r="K320" s="14">
        <f>Table2[[#This Row],[Revenue]]-Table2[[#This Row],[Expense]]</f>
        <v>353816</v>
      </c>
    </row>
    <row r="321" spans="1:11">
      <c r="A321" s="16" t="s">
        <v>344</v>
      </c>
      <c r="B321" s="10">
        <v>45609</v>
      </c>
      <c r="C321" s="10" t="str">
        <f>TEXT(Table2[[#This Row],[Date]],"mmm-yyyy")</f>
        <v>Nov-2024</v>
      </c>
      <c r="D321" s="7" t="s">
        <v>4</v>
      </c>
      <c r="E321" s="7" t="s">
        <v>22</v>
      </c>
      <c r="F321" s="7">
        <v>9</v>
      </c>
      <c r="G321" s="13">
        <v>78722</v>
      </c>
      <c r="H321" s="13">
        <v>7588</v>
      </c>
      <c r="I321" s="7" t="s">
        <v>17</v>
      </c>
      <c r="J321" s="14">
        <f t="shared" si="4"/>
        <v>708498</v>
      </c>
      <c r="K321" s="14">
        <f>Table2[[#This Row],[Revenue]]-Table2[[#This Row],[Expense]]</f>
        <v>700910</v>
      </c>
    </row>
    <row r="322" spans="1:11">
      <c r="A322" s="16" t="s">
        <v>345</v>
      </c>
      <c r="B322" s="10">
        <v>45611</v>
      </c>
      <c r="C322" s="10" t="str">
        <f>TEXT(Table2[[#This Row],[Date]],"mmm-yyyy")</f>
        <v>Nov-2024</v>
      </c>
      <c r="D322" s="7" t="s">
        <v>2</v>
      </c>
      <c r="E322" s="7" t="s">
        <v>27</v>
      </c>
      <c r="F322" s="7">
        <v>7</v>
      </c>
      <c r="G322" s="13">
        <v>78076</v>
      </c>
      <c r="H322" s="13">
        <v>3159</v>
      </c>
      <c r="I322" s="7" t="s">
        <v>17</v>
      </c>
      <c r="J322" s="14">
        <f t="shared" ref="J322:J385" si="5">G322*F322</f>
        <v>546532</v>
      </c>
      <c r="K322" s="14">
        <f>Table2[[#This Row],[Revenue]]-Table2[[#This Row],[Expense]]</f>
        <v>543373</v>
      </c>
    </row>
    <row r="323" spans="1:11">
      <c r="A323" s="16" t="s">
        <v>346</v>
      </c>
      <c r="B323" s="10">
        <v>45614</v>
      </c>
      <c r="C323" s="10" t="str">
        <f>TEXT(Table2[[#This Row],[Date]],"mmm-yyyy")</f>
        <v>Nov-2024</v>
      </c>
      <c r="D323" s="7" t="s">
        <v>2</v>
      </c>
      <c r="E323" s="7" t="s">
        <v>24</v>
      </c>
      <c r="F323" s="7">
        <v>6</v>
      </c>
      <c r="G323" s="13">
        <v>77471</v>
      </c>
      <c r="H323" s="13">
        <v>42814</v>
      </c>
      <c r="I323" s="7" t="s">
        <v>17</v>
      </c>
      <c r="J323" s="14">
        <f t="shared" si="5"/>
        <v>464826</v>
      </c>
      <c r="K323" s="14">
        <f>Table2[[#This Row],[Revenue]]-Table2[[#This Row],[Expense]]</f>
        <v>422012</v>
      </c>
    </row>
    <row r="324" spans="1:11">
      <c r="A324" s="16" t="s">
        <v>347</v>
      </c>
      <c r="B324" s="10">
        <v>45614</v>
      </c>
      <c r="C324" s="10" t="str">
        <f>TEXT(Table2[[#This Row],[Date]],"mmm-yyyy")</f>
        <v>Nov-2024</v>
      </c>
      <c r="D324" s="7" t="s">
        <v>2</v>
      </c>
      <c r="E324" s="7" t="s">
        <v>16</v>
      </c>
      <c r="F324" s="7">
        <v>5</v>
      </c>
      <c r="G324" s="13">
        <v>50908</v>
      </c>
      <c r="H324" s="13">
        <v>10528</v>
      </c>
      <c r="I324" s="7" t="s">
        <v>30</v>
      </c>
      <c r="J324" s="14">
        <f t="shared" si="5"/>
        <v>254540</v>
      </c>
      <c r="K324" s="14">
        <f>Table2[[#This Row],[Revenue]]-Table2[[#This Row],[Expense]]</f>
        <v>244012</v>
      </c>
    </row>
    <row r="325" spans="1:11">
      <c r="A325" s="16" t="s">
        <v>348</v>
      </c>
      <c r="B325" s="10">
        <v>45615</v>
      </c>
      <c r="C325" s="10" t="str">
        <f>TEXT(Table2[[#This Row],[Date]],"mmm-yyyy")</f>
        <v>Nov-2024</v>
      </c>
      <c r="D325" s="7" t="s">
        <v>4</v>
      </c>
      <c r="E325" s="7" t="s">
        <v>16</v>
      </c>
      <c r="F325" s="7">
        <v>1</v>
      </c>
      <c r="G325" s="13">
        <v>12371</v>
      </c>
      <c r="H325" s="13">
        <v>12407</v>
      </c>
      <c r="I325" s="7" t="s">
        <v>36</v>
      </c>
      <c r="J325" s="14">
        <f t="shared" si="5"/>
        <v>12371</v>
      </c>
      <c r="K325" s="14">
        <f>Table2[[#This Row],[Revenue]]-Table2[[#This Row],[Expense]]</f>
        <v>-36</v>
      </c>
    </row>
    <row r="326" spans="1:11">
      <c r="A326" s="16" t="s">
        <v>349</v>
      </c>
      <c r="B326" s="10">
        <v>45616</v>
      </c>
      <c r="C326" s="10" t="str">
        <f>TEXT(Table2[[#This Row],[Date]],"mmm-yyyy")</f>
        <v>Nov-2024</v>
      </c>
      <c r="D326" s="7" t="s">
        <v>26</v>
      </c>
      <c r="E326" s="7" t="s">
        <v>16</v>
      </c>
      <c r="F326" s="7">
        <v>9</v>
      </c>
      <c r="G326" s="13">
        <v>18768</v>
      </c>
      <c r="H326" s="13">
        <v>5666</v>
      </c>
      <c r="I326" s="7" t="s">
        <v>17</v>
      </c>
      <c r="J326" s="14">
        <f t="shared" si="5"/>
        <v>168912</v>
      </c>
      <c r="K326" s="14">
        <f>Table2[[#This Row],[Revenue]]-Table2[[#This Row],[Expense]]</f>
        <v>163246</v>
      </c>
    </row>
    <row r="327" spans="1:11">
      <c r="A327" s="16" t="s">
        <v>350</v>
      </c>
      <c r="B327" s="10">
        <v>45617</v>
      </c>
      <c r="C327" s="10" t="str">
        <f>TEXT(Table2[[#This Row],[Date]],"mmm-yyyy")</f>
        <v>Nov-2024</v>
      </c>
      <c r="D327" s="7" t="s">
        <v>4</v>
      </c>
      <c r="E327" s="7" t="s">
        <v>16</v>
      </c>
      <c r="F327" s="7">
        <v>1</v>
      </c>
      <c r="G327" s="13">
        <v>38346</v>
      </c>
      <c r="H327" s="13">
        <v>31573</v>
      </c>
      <c r="I327" s="7" t="s">
        <v>30</v>
      </c>
      <c r="J327" s="14">
        <f t="shared" si="5"/>
        <v>38346</v>
      </c>
      <c r="K327" s="14">
        <f>Table2[[#This Row],[Revenue]]-Table2[[#This Row],[Expense]]</f>
        <v>6773</v>
      </c>
    </row>
    <row r="328" spans="1:11">
      <c r="A328" s="16" t="s">
        <v>351</v>
      </c>
      <c r="B328" s="10">
        <v>45618</v>
      </c>
      <c r="C328" s="10" t="str">
        <f>TEXT(Table2[[#This Row],[Date]],"mmm-yyyy")</f>
        <v>Nov-2024</v>
      </c>
      <c r="D328" s="7" t="s">
        <v>4</v>
      </c>
      <c r="E328" s="7" t="s">
        <v>22</v>
      </c>
      <c r="F328" s="7">
        <v>2</v>
      </c>
      <c r="G328" s="13">
        <v>72331</v>
      </c>
      <c r="H328" s="13">
        <v>11720</v>
      </c>
      <c r="I328" s="7" t="s">
        <v>17</v>
      </c>
      <c r="J328" s="14">
        <f t="shared" si="5"/>
        <v>144662</v>
      </c>
      <c r="K328" s="14">
        <f>Table2[[#This Row],[Revenue]]-Table2[[#This Row],[Expense]]</f>
        <v>132942</v>
      </c>
    </row>
    <row r="329" spans="1:11">
      <c r="A329" s="16" t="s">
        <v>352</v>
      </c>
      <c r="B329" s="10">
        <v>45618</v>
      </c>
      <c r="C329" s="10" t="str">
        <f>TEXT(Table2[[#This Row],[Date]],"mmm-yyyy")</f>
        <v>Nov-2024</v>
      </c>
      <c r="D329" s="7" t="s">
        <v>15</v>
      </c>
      <c r="E329" s="7" t="s">
        <v>16</v>
      </c>
      <c r="F329" s="7">
        <v>6</v>
      </c>
      <c r="G329" s="13">
        <v>69410</v>
      </c>
      <c r="H329" s="13">
        <v>38481</v>
      </c>
      <c r="I329" s="7" t="s">
        <v>19</v>
      </c>
      <c r="J329" s="14">
        <f t="shared" si="5"/>
        <v>416460</v>
      </c>
      <c r="K329" s="14">
        <f>Table2[[#This Row],[Revenue]]-Table2[[#This Row],[Expense]]</f>
        <v>377979</v>
      </c>
    </row>
    <row r="330" spans="1:11">
      <c r="A330" s="16" t="s">
        <v>353</v>
      </c>
      <c r="B330" s="10">
        <v>45619</v>
      </c>
      <c r="C330" s="10" t="str">
        <f>TEXT(Table2[[#This Row],[Date]],"mmm-yyyy")</f>
        <v>Nov-2024</v>
      </c>
      <c r="D330" s="7" t="s">
        <v>15</v>
      </c>
      <c r="E330" s="7" t="s">
        <v>27</v>
      </c>
      <c r="F330" s="7">
        <v>2</v>
      </c>
      <c r="G330" s="13">
        <v>75196</v>
      </c>
      <c r="H330" s="13">
        <v>46657</v>
      </c>
      <c r="I330" s="7" t="s">
        <v>36</v>
      </c>
      <c r="J330" s="14">
        <f t="shared" si="5"/>
        <v>150392</v>
      </c>
      <c r="K330" s="14">
        <f>Table2[[#This Row],[Revenue]]-Table2[[#This Row],[Expense]]</f>
        <v>103735</v>
      </c>
    </row>
    <row r="331" spans="1:11">
      <c r="A331" s="16" t="s">
        <v>354</v>
      </c>
      <c r="B331" s="10">
        <v>45620</v>
      </c>
      <c r="C331" s="10" t="str">
        <f>TEXT(Table2[[#This Row],[Date]],"mmm-yyyy")</f>
        <v>Nov-2024</v>
      </c>
      <c r="D331" s="7" t="s">
        <v>26</v>
      </c>
      <c r="E331" s="7" t="s">
        <v>27</v>
      </c>
      <c r="F331" s="7">
        <v>9</v>
      </c>
      <c r="G331" s="13">
        <v>1677</v>
      </c>
      <c r="H331" s="13">
        <v>11805</v>
      </c>
      <c r="I331" s="7" t="s">
        <v>17</v>
      </c>
      <c r="J331" s="14">
        <f t="shared" si="5"/>
        <v>15093</v>
      </c>
      <c r="K331" s="14">
        <f>Table2[[#This Row],[Revenue]]-Table2[[#This Row],[Expense]]</f>
        <v>3288</v>
      </c>
    </row>
    <row r="332" spans="1:11">
      <c r="A332" s="16" t="s">
        <v>355</v>
      </c>
      <c r="B332" s="10">
        <v>45622</v>
      </c>
      <c r="C332" s="10" t="str">
        <f>TEXT(Table2[[#This Row],[Date]],"mmm-yyyy")</f>
        <v>Nov-2024</v>
      </c>
      <c r="D332" s="7" t="s">
        <v>4</v>
      </c>
      <c r="E332" s="7" t="s">
        <v>24</v>
      </c>
      <c r="F332" s="7">
        <v>1</v>
      </c>
      <c r="G332" s="13">
        <v>32390</v>
      </c>
      <c r="H332" s="13">
        <v>37850</v>
      </c>
      <c r="I332" s="7" t="s">
        <v>36</v>
      </c>
      <c r="J332" s="14">
        <f t="shared" si="5"/>
        <v>32390</v>
      </c>
      <c r="K332" s="14">
        <f>Table2[[#This Row],[Revenue]]-Table2[[#This Row],[Expense]]</f>
        <v>-5460</v>
      </c>
    </row>
    <row r="333" spans="1:11">
      <c r="A333" s="16" t="s">
        <v>356</v>
      </c>
      <c r="B333" s="10">
        <v>45622</v>
      </c>
      <c r="C333" s="10" t="str">
        <f>TEXT(Table2[[#This Row],[Date]],"mmm-yyyy")</f>
        <v>Nov-2024</v>
      </c>
      <c r="D333" s="7" t="s">
        <v>3</v>
      </c>
      <c r="E333" s="7" t="s">
        <v>24</v>
      </c>
      <c r="F333" s="7">
        <v>7</v>
      </c>
      <c r="G333" s="13">
        <v>56773</v>
      </c>
      <c r="H333" s="13">
        <v>6347</v>
      </c>
      <c r="I333" s="7" t="s">
        <v>17</v>
      </c>
      <c r="J333" s="14">
        <f t="shared" si="5"/>
        <v>397411</v>
      </c>
      <c r="K333" s="14">
        <f>Table2[[#This Row],[Revenue]]-Table2[[#This Row],[Expense]]</f>
        <v>391064</v>
      </c>
    </row>
    <row r="334" spans="1:11">
      <c r="A334" s="16" t="s">
        <v>357</v>
      </c>
      <c r="B334" s="10">
        <v>45629</v>
      </c>
      <c r="C334" s="10" t="str">
        <f>TEXT(Table2[[#This Row],[Date]],"mmm-yyyy")</f>
        <v>Dec-2024</v>
      </c>
      <c r="D334" s="7" t="s">
        <v>2</v>
      </c>
      <c r="E334" s="7" t="s">
        <v>22</v>
      </c>
      <c r="F334" s="7">
        <v>9</v>
      </c>
      <c r="G334" s="13">
        <v>12649</v>
      </c>
      <c r="H334" s="13">
        <v>4390</v>
      </c>
      <c r="I334" s="7" t="s">
        <v>19</v>
      </c>
      <c r="J334" s="14">
        <f t="shared" si="5"/>
        <v>113841</v>
      </c>
      <c r="K334" s="14">
        <f>Table2[[#This Row],[Revenue]]-Table2[[#This Row],[Expense]]</f>
        <v>109451</v>
      </c>
    </row>
    <row r="335" spans="1:11">
      <c r="A335" s="16" t="s">
        <v>358</v>
      </c>
      <c r="B335" s="10">
        <v>45629</v>
      </c>
      <c r="C335" s="10" t="str">
        <f>TEXT(Table2[[#This Row],[Date]],"mmm-yyyy")</f>
        <v>Dec-2024</v>
      </c>
      <c r="D335" s="7" t="s">
        <v>2</v>
      </c>
      <c r="E335" s="7" t="s">
        <v>16</v>
      </c>
      <c r="F335" s="7">
        <v>8</v>
      </c>
      <c r="G335" s="13">
        <v>57509</v>
      </c>
      <c r="H335" s="13">
        <v>43951</v>
      </c>
      <c r="I335" s="7" t="s">
        <v>17</v>
      </c>
      <c r="J335" s="14">
        <f t="shared" si="5"/>
        <v>460072</v>
      </c>
      <c r="K335" s="14">
        <f>Table2[[#This Row],[Revenue]]-Table2[[#This Row],[Expense]]</f>
        <v>416121</v>
      </c>
    </row>
    <row r="336" spans="1:11">
      <c r="A336" s="16" t="s">
        <v>359</v>
      </c>
      <c r="B336" s="10">
        <v>45629</v>
      </c>
      <c r="C336" s="10" t="str">
        <f>TEXT(Table2[[#This Row],[Date]],"mmm-yyyy")</f>
        <v>Dec-2024</v>
      </c>
      <c r="D336" s="7" t="s">
        <v>26</v>
      </c>
      <c r="E336" s="7" t="s">
        <v>32</v>
      </c>
      <c r="F336" s="7">
        <v>6</v>
      </c>
      <c r="G336" s="13">
        <v>42580</v>
      </c>
      <c r="H336" s="13">
        <v>26150</v>
      </c>
      <c r="I336" s="7" t="s">
        <v>17</v>
      </c>
      <c r="J336" s="14">
        <f t="shared" si="5"/>
        <v>255480</v>
      </c>
      <c r="K336" s="14">
        <f>Table2[[#This Row],[Revenue]]-Table2[[#This Row],[Expense]]</f>
        <v>229330</v>
      </c>
    </row>
    <row r="337" spans="1:11">
      <c r="A337" s="16" t="s">
        <v>360</v>
      </c>
      <c r="B337" s="10">
        <v>45631</v>
      </c>
      <c r="C337" s="10" t="str">
        <f>TEXT(Table2[[#This Row],[Date]],"mmm-yyyy")</f>
        <v>Dec-2024</v>
      </c>
      <c r="D337" s="7" t="s">
        <v>4</v>
      </c>
      <c r="E337" s="7" t="s">
        <v>24</v>
      </c>
      <c r="F337" s="7">
        <v>1</v>
      </c>
      <c r="G337" s="13">
        <v>27487</v>
      </c>
      <c r="H337" s="13">
        <v>13087</v>
      </c>
      <c r="I337" s="7" t="s">
        <v>19</v>
      </c>
      <c r="J337" s="14">
        <f t="shared" si="5"/>
        <v>27487</v>
      </c>
      <c r="K337" s="14">
        <f>Table2[[#This Row],[Revenue]]-Table2[[#This Row],[Expense]]</f>
        <v>14400</v>
      </c>
    </row>
    <row r="338" spans="1:11">
      <c r="A338" s="16" t="s">
        <v>361</v>
      </c>
      <c r="B338" s="10">
        <v>45631</v>
      </c>
      <c r="C338" s="10" t="str">
        <f>TEXT(Table2[[#This Row],[Date]],"mmm-yyyy")</f>
        <v>Dec-2024</v>
      </c>
      <c r="D338" s="7" t="s">
        <v>1</v>
      </c>
      <c r="E338" s="7" t="s">
        <v>24</v>
      </c>
      <c r="F338" s="7">
        <v>4</v>
      </c>
      <c r="G338" s="13">
        <v>41823</v>
      </c>
      <c r="H338" s="13">
        <v>33972</v>
      </c>
      <c r="I338" s="7" t="s">
        <v>19</v>
      </c>
      <c r="J338" s="14">
        <f t="shared" si="5"/>
        <v>167292</v>
      </c>
      <c r="K338" s="14">
        <f>Table2[[#This Row],[Revenue]]-Table2[[#This Row],[Expense]]</f>
        <v>133320</v>
      </c>
    </row>
    <row r="339" spans="1:11">
      <c r="A339" s="16" t="s">
        <v>362</v>
      </c>
      <c r="B339" s="10">
        <v>45631</v>
      </c>
      <c r="C339" s="10" t="str">
        <f>TEXT(Table2[[#This Row],[Date]],"mmm-yyyy")</f>
        <v>Dec-2024</v>
      </c>
      <c r="D339" s="7" t="s">
        <v>2</v>
      </c>
      <c r="E339" s="7" t="s">
        <v>27</v>
      </c>
      <c r="F339" s="7">
        <v>4</v>
      </c>
      <c r="G339" s="13">
        <v>55816</v>
      </c>
      <c r="H339" s="13">
        <v>18071</v>
      </c>
      <c r="I339" s="7" t="s">
        <v>19</v>
      </c>
      <c r="J339" s="14">
        <f t="shared" si="5"/>
        <v>223264</v>
      </c>
      <c r="K339" s="14">
        <f>Table2[[#This Row],[Revenue]]-Table2[[#This Row],[Expense]]</f>
        <v>205193</v>
      </c>
    </row>
    <row r="340" spans="1:11">
      <c r="A340" s="16" t="s">
        <v>363</v>
      </c>
      <c r="B340" s="10">
        <v>45633</v>
      </c>
      <c r="C340" s="10" t="str">
        <f>TEXT(Table2[[#This Row],[Date]],"mmm-yyyy")</f>
        <v>Dec-2024</v>
      </c>
      <c r="D340" s="7" t="s">
        <v>26</v>
      </c>
      <c r="E340" s="7" t="s">
        <v>16</v>
      </c>
      <c r="F340" s="7">
        <v>2</v>
      </c>
      <c r="G340" s="13">
        <v>15071</v>
      </c>
      <c r="H340" s="13">
        <v>34160</v>
      </c>
      <c r="I340" s="7" t="s">
        <v>36</v>
      </c>
      <c r="J340" s="14">
        <f t="shared" si="5"/>
        <v>30142</v>
      </c>
      <c r="K340" s="14">
        <f>Table2[[#This Row],[Revenue]]-Table2[[#This Row],[Expense]]</f>
        <v>-4018</v>
      </c>
    </row>
    <row r="341" spans="1:11">
      <c r="A341" s="16" t="s">
        <v>364</v>
      </c>
      <c r="B341" s="10">
        <v>45634</v>
      </c>
      <c r="C341" s="10" t="str">
        <f>TEXT(Table2[[#This Row],[Date]],"mmm-yyyy")</f>
        <v>Dec-2024</v>
      </c>
      <c r="D341" s="7" t="s">
        <v>1</v>
      </c>
      <c r="E341" s="7" t="s">
        <v>32</v>
      </c>
      <c r="F341" s="7">
        <v>9</v>
      </c>
      <c r="G341" s="13">
        <v>74465</v>
      </c>
      <c r="H341" s="13">
        <v>47760</v>
      </c>
      <c r="I341" s="7" t="s">
        <v>36</v>
      </c>
      <c r="J341" s="14">
        <f t="shared" si="5"/>
        <v>670185</v>
      </c>
      <c r="K341" s="14">
        <f>Table2[[#This Row],[Revenue]]-Table2[[#This Row],[Expense]]</f>
        <v>622425</v>
      </c>
    </row>
    <row r="342" spans="1:11">
      <c r="A342" s="16" t="s">
        <v>365</v>
      </c>
      <c r="B342" s="10">
        <v>45635</v>
      </c>
      <c r="C342" s="10" t="str">
        <f>TEXT(Table2[[#This Row],[Date]],"mmm-yyyy")</f>
        <v>Dec-2024</v>
      </c>
      <c r="D342" s="7" t="s">
        <v>15</v>
      </c>
      <c r="E342" s="7" t="s">
        <v>16</v>
      </c>
      <c r="F342" s="7">
        <v>9</v>
      </c>
      <c r="G342" s="13">
        <v>6204</v>
      </c>
      <c r="H342" s="13">
        <v>19037</v>
      </c>
      <c r="I342" s="7" t="s">
        <v>36</v>
      </c>
      <c r="J342" s="14">
        <f t="shared" si="5"/>
        <v>55836</v>
      </c>
      <c r="K342" s="14">
        <f>Table2[[#This Row],[Revenue]]-Table2[[#This Row],[Expense]]</f>
        <v>36799</v>
      </c>
    </row>
    <row r="343" spans="1:11">
      <c r="A343" s="16" t="s">
        <v>366</v>
      </c>
      <c r="B343" s="10">
        <v>45635</v>
      </c>
      <c r="C343" s="10" t="str">
        <f>TEXT(Table2[[#This Row],[Date]],"mmm-yyyy")</f>
        <v>Dec-2024</v>
      </c>
      <c r="D343" s="7" t="s">
        <v>2</v>
      </c>
      <c r="E343" s="7" t="s">
        <v>27</v>
      </c>
      <c r="F343" s="7">
        <v>8</v>
      </c>
      <c r="G343" s="13">
        <v>56326</v>
      </c>
      <c r="H343" s="13">
        <v>34598</v>
      </c>
      <c r="I343" s="7" t="s">
        <v>19</v>
      </c>
      <c r="J343" s="14">
        <f t="shared" si="5"/>
        <v>450608</v>
      </c>
      <c r="K343" s="14">
        <f>Table2[[#This Row],[Revenue]]-Table2[[#This Row],[Expense]]</f>
        <v>416010</v>
      </c>
    </row>
    <row r="344" spans="1:11">
      <c r="A344" s="16" t="s">
        <v>367</v>
      </c>
      <c r="B344" s="10">
        <v>45636</v>
      </c>
      <c r="C344" s="10" t="str">
        <f>TEXT(Table2[[#This Row],[Date]],"mmm-yyyy")</f>
        <v>Dec-2024</v>
      </c>
      <c r="D344" s="7" t="s">
        <v>3</v>
      </c>
      <c r="E344" s="7" t="s">
        <v>27</v>
      </c>
      <c r="F344" s="7">
        <v>8</v>
      </c>
      <c r="G344" s="13">
        <v>25926</v>
      </c>
      <c r="H344" s="13">
        <v>17832</v>
      </c>
      <c r="I344" s="7" t="s">
        <v>17</v>
      </c>
      <c r="J344" s="14">
        <f t="shared" si="5"/>
        <v>207408</v>
      </c>
      <c r="K344" s="14">
        <f>Table2[[#This Row],[Revenue]]-Table2[[#This Row],[Expense]]</f>
        <v>189576</v>
      </c>
    </row>
    <row r="345" spans="1:11">
      <c r="A345" s="16" t="s">
        <v>368</v>
      </c>
      <c r="B345" s="10">
        <v>45636</v>
      </c>
      <c r="C345" s="10" t="str">
        <f>TEXT(Table2[[#This Row],[Date]],"mmm-yyyy")</f>
        <v>Dec-2024</v>
      </c>
      <c r="D345" s="7" t="s">
        <v>26</v>
      </c>
      <c r="E345" s="7" t="s">
        <v>16</v>
      </c>
      <c r="F345" s="7">
        <v>2</v>
      </c>
      <c r="G345" s="13">
        <v>31901</v>
      </c>
      <c r="H345" s="13">
        <v>7256</v>
      </c>
      <c r="I345" s="7" t="s">
        <v>36</v>
      </c>
      <c r="J345" s="14">
        <f t="shared" si="5"/>
        <v>63802</v>
      </c>
      <c r="K345" s="14">
        <f>Table2[[#This Row],[Revenue]]-Table2[[#This Row],[Expense]]</f>
        <v>56546</v>
      </c>
    </row>
    <row r="346" spans="1:11">
      <c r="A346" s="16" t="s">
        <v>369</v>
      </c>
      <c r="B346" s="10">
        <v>45637</v>
      </c>
      <c r="C346" s="10" t="str">
        <f>TEXT(Table2[[#This Row],[Date]],"mmm-yyyy")</f>
        <v>Dec-2024</v>
      </c>
      <c r="D346" s="7" t="s">
        <v>26</v>
      </c>
      <c r="E346" s="7" t="s">
        <v>32</v>
      </c>
      <c r="F346" s="7">
        <v>3</v>
      </c>
      <c r="G346" s="13">
        <v>74270</v>
      </c>
      <c r="H346" s="13">
        <v>35546</v>
      </c>
      <c r="I346" s="7" t="s">
        <v>36</v>
      </c>
      <c r="J346" s="14">
        <f t="shared" si="5"/>
        <v>222810</v>
      </c>
      <c r="K346" s="14">
        <f>Table2[[#This Row],[Revenue]]-Table2[[#This Row],[Expense]]</f>
        <v>187264</v>
      </c>
    </row>
    <row r="347" spans="1:11">
      <c r="A347" s="16" t="s">
        <v>370</v>
      </c>
      <c r="B347" s="10">
        <v>45637</v>
      </c>
      <c r="C347" s="10" t="str">
        <f>TEXT(Table2[[#This Row],[Date]],"mmm-yyyy")</f>
        <v>Dec-2024</v>
      </c>
      <c r="D347" s="7" t="s">
        <v>15</v>
      </c>
      <c r="E347" s="7" t="s">
        <v>16</v>
      </c>
      <c r="F347" s="7">
        <v>9</v>
      </c>
      <c r="G347" s="13">
        <v>69749</v>
      </c>
      <c r="H347" s="13">
        <v>20715</v>
      </c>
      <c r="I347" s="7" t="s">
        <v>19</v>
      </c>
      <c r="J347" s="14">
        <f t="shared" si="5"/>
        <v>627741</v>
      </c>
      <c r="K347" s="14">
        <f>Table2[[#This Row],[Revenue]]-Table2[[#This Row],[Expense]]</f>
        <v>607026</v>
      </c>
    </row>
    <row r="348" spans="1:11">
      <c r="A348" s="16" t="s">
        <v>371</v>
      </c>
      <c r="B348" s="10">
        <v>45637</v>
      </c>
      <c r="C348" s="10" t="str">
        <f>TEXT(Table2[[#This Row],[Date]],"mmm-yyyy")</f>
        <v>Dec-2024</v>
      </c>
      <c r="D348" s="7" t="s">
        <v>1</v>
      </c>
      <c r="E348" s="7" t="s">
        <v>27</v>
      </c>
      <c r="F348" s="7">
        <v>7</v>
      </c>
      <c r="G348" s="13">
        <v>6906</v>
      </c>
      <c r="H348" s="13">
        <v>15939</v>
      </c>
      <c r="I348" s="7" t="s">
        <v>19</v>
      </c>
      <c r="J348" s="14">
        <f t="shared" si="5"/>
        <v>48342</v>
      </c>
      <c r="K348" s="14">
        <f>Table2[[#This Row],[Revenue]]-Table2[[#This Row],[Expense]]</f>
        <v>32403</v>
      </c>
    </row>
    <row r="349" spans="1:11">
      <c r="A349" s="16" t="s">
        <v>372</v>
      </c>
      <c r="B349" s="10">
        <v>45637</v>
      </c>
      <c r="C349" s="10" t="str">
        <f>TEXT(Table2[[#This Row],[Date]],"mmm-yyyy")</f>
        <v>Dec-2024</v>
      </c>
      <c r="D349" s="7" t="s">
        <v>4</v>
      </c>
      <c r="E349" s="7" t="s">
        <v>16</v>
      </c>
      <c r="F349" s="7">
        <v>7</v>
      </c>
      <c r="G349" s="13">
        <v>63537</v>
      </c>
      <c r="H349" s="13">
        <v>34243</v>
      </c>
      <c r="I349" s="7" t="s">
        <v>19</v>
      </c>
      <c r="J349" s="14">
        <f t="shared" si="5"/>
        <v>444759</v>
      </c>
      <c r="K349" s="14">
        <f>Table2[[#This Row],[Revenue]]-Table2[[#This Row],[Expense]]</f>
        <v>410516</v>
      </c>
    </row>
    <row r="350" spans="1:11">
      <c r="A350" s="16" t="s">
        <v>373</v>
      </c>
      <c r="B350" s="10">
        <v>45639</v>
      </c>
      <c r="C350" s="10" t="str">
        <f>TEXT(Table2[[#This Row],[Date]],"mmm-yyyy")</f>
        <v>Dec-2024</v>
      </c>
      <c r="D350" s="7" t="s">
        <v>26</v>
      </c>
      <c r="E350" s="7" t="s">
        <v>32</v>
      </c>
      <c r="F350" s="7">
        <v>6</v>
      </c>
      <c r="G350" s="13">
        <v>77059</v>
      </c>
      <c r="H350" s="13">
        <v>3643</v>
      </c>
      <c r="I350" s="7" t="s">
        <v>36</v>
      </c>
      <c r="J350" s="14">
        <f t="shared" si="5"/>
        <v>462354</v>
      </c>
      <c r="K350" s="14">
        <f>Table2[[#This Row],[Revenue]]-Table2[[#This Row],[Expense]]</f>
        <v>458711</v>
      </c>
    </row>
    <row r="351" spans="1:11">
      <c r="A351" s="16" t="s">
        <v>374</v>
      </c>
      <c r="B351" s="10">
        <v>45640</v>
      </c>
      <c r="C351" s="10" t="str">
        <f>TEXT(Table2[[#This Row],[Date]],"mmm-yyyy")</f>
        <v>Dec-2024</v>
      </c>
      <c r="D351" s="7" t="s">
        <v>4</v>
      </c>
      <c r="E351" s="7" t="s">
        <v>16</v>
      </c>
      <c r="F351" s="7">
        <v>5</v>
      </c>
      <c r="G351" s="13">
        <v>55909</v>
      </c>
      <c r="H351" s="13">
        <v>24387</v>
      </c>
      <c r="I351" s="7" t="s">
        <v>30</v>
      </c>
      <c r="J351" s="14">
        <f t="shared" si="5"/>
        <v>279545</v>
      </c>
      <c r="K351" s="14">
        <f>Table2[[#This Row],[Revenue]]-Table2[[#This Row],[Expense]]</f>
        <v>255158</v>
      </c>
    </row>
    <row r="352" spans="1:11">
      <c r="A352" s="16" t="s">
        <v>375</v>
      </c>
      <c r="B352" s="10">
        <v>45640</v>
      </c>
      <c r="C352" s="10" t="str">
        <f>TEXT(Table2[[#This Row],[Date]],"mmm-yyyy")</f>
        <v>Dec-2024</v>
      </c>
      <c r="D352" s="7" t="s">
        <v>2</v>
      </c>
      <c r="E352" s="7" t="s">
        <v>32</v>
      </c>
      <c r="F352" s="7">
        <v>6</v>
      </c>
      <c r="G352" s="13">
        <v>45436</v>
      </c>
      <c r="H352" s="13">
        <v>31933</v>
      </c>
      <c r="I352" s="7" t="s">
        <v>19</v>
      </c>
      <c r="J352" s="14">
        <f t="shared" si="5"/>
        <v>272616</v>
      </c>
      <c r="K352" s="14">
        <f>Table2[[#This Row],[Revenue]]-Table2[[#This Row],[Expense]]</f>
        <v>240683</v>
      </c>
    </row>
    <row r="353" spans="1:11">
      <c r="A353" s="16" t="s">
        <v>376</v>
      </c>
      <c r="B353" s="10">
        <v>45640</v>
      </c>
      <c r="C353" s="10" t="str">
        <f>TEXT(Table2[[#This Row],[Date]],"mmm-yyyy")</f>
        <v>Dec-2024</v>
      </c>
      <c r="D353" s="7" t="s">
        <v>2</v>
      </c>
      <c r="E353" s="7" t="s">
        <v>24</v>
      </c>
      <c r="F353" s="7">
        <v>6</v>
      </c>
      <c r="G353" s="13">
        <v>65141</v>
      </c>
      <c r="H353" s="13">
        <v>3591</v>
      </c>
      <c r="I353" s="7" t="s">
        <v>36</v>
      </c>
      <c r="J353" s="14">
        <f t="shared" si="5"/>
        <v>390846</v>
      </c>
      <c r="K353" s="14">
        <f>Table2[[#This Row],[Revenue]]-Table2[[#This Row],[Expense]]</f>
        <v>387255</v>
      </c>
    </row>
    <row r="354" spans="1:11">
      <c r="A354" s="16" t="s">
        <v>377</v>
      </c>
      <c r="B354" s="10">
        <v>45640</v>
      </c>
      <c r="C354" s="10" t="str">
        <f>TEXT(Table2[[#This Row],[Date]],"mmm-yyyy")</f>
        <v>Dec-2024</v>
      </c>
      <c r="D354" s="7" t="s">
        <v>4</v>
      </c>
      <c r="E354" s="7" t="s">
        <v>32</v>
      </c>
      <c r="F354" s="7">
        <v>5</v>
      </c>
      <c r="G354" s="13">
        <v>17405</v>
      </c>
      <c r="H354" s="13">
        <v>10122</v>
      </c>
      <c r="I354" s="7" t="s">
        <v>30</v>
      </c>
      <c r="J354" s="14">
        <f t="shared" si="5"/>
        <v>87025</v>
      </c>
      <c r="K354" s="14">
        <f>Table2[[#This Row],[Revenue]]-Table2[[#This Row],[Expense]]</f>
        <v>76903</v>
      </c>
    </row>
    <row r="355" spans="1:11">
      <c r="A355" s="16" t="s">
        <v>378</v>
      </c>
      <c r="B355" s="10">
        <v>45642</v>
      </c>
      <c r="C355" s="10" t="str">
        <f>TEXT(Table2[[#This Row],[Date]],"mmm-yyyy")</f>
        <v>Dec-2024</v>
      </c>
      <c r="D355" s="7" t="s">
        <v>3</v>
      </c>
      <c r="E355" s="7" t="s">
        <v>27</v>
      </c>
      <c r="F355" s="7">
        <v>2</v>
      </c>
      <c r="G355" s="13">
        <v>23671</v>
      </c>
      <c r="H355" s="13">
        <v>30750</v>
      </c>
      <c r="I355" s="7" t="s">
        <v>19</v>
      </c>
      <c r="J355" s="14">
        <f t="shared" si="5"/>
        <v>47342</v>
      </c>
      <c r="K355" s="14">
        <f>Table2[[#This Row],[Revenue]]-Table2[[#This Row],[Expense]]</f>
        <v>16592</v>
      </c>
    </row>
    <row r="356" spans="1:11">
      <c r="A356" s="16" t="s">
        <v>379</v>
      </c>
      <c r="B356" s="10">
        <v>45643</v>
      </c>
      <c r="C356" s="10" t="str">
        <f>TEXT(Table2[[#This Row],[Date]],"mmm-yyyy")</f>
        <v>Dec-2024</v>
      </c>
      <c r="D356" s="7" t="s">
        <v>2</v>
      </c>
      <c r="E356" s="7" t="s">
        <v>16</v>
      </c>
      <c r="F356" s="7">
        <v>4</v>
      </c>
      <c r="G356" s="13">
        <v>14984</v>
      </c>
      <c r="H356" s="13">
        <v>4384</v>
      </c>
      <c r="I356" s="7" t="s">
        <v>17</v>
      </c>
      <c r="J356" s="14">
        <f t="shared" si="5"/>
        <v>59936</v>
      </c>
      <c r="K356" s="14">
        <f>Table2[[#This Row],[Revenue]]-Table2[[#This Row],[Expense]]</f>
        <v>55552</v>
      </c>
    </row>
    <row r="357" spans="1:11">
      <c r="A357" s="16" t="s">
        <v>380</v>
      </c>
      <c r="B357" s="10">
        <v>45643</v>
      </c>
      <c r="C357" s="10" t="str">
        <f>TEXT(Table2[[#This Row],[Date]],"mmm-yyyy")</f>
        <v>Dec-2024</v>
      </c>
      <c r="D357" s="7" t="s">
        <v>26</v>
      </c>
      <c r="E357" s="7" t="s">
        <v>24</v>
      </c>
      <c r="F357" s="7">
        <v>6</v>
      </c>
      <c r="G357" s="13">
        <v>55323</v>
      </c>
      <c r="H357" s="13">
        <v>19489</v>
      </c>
      <c r="I357" s="7" t="s">
        <v>17</v>
      </c>
      <c r="J357" s="14">
        <f t="shared" si="5"/>
        <v>331938</v>
      </c>
      <c r="K357" s="14">
        <f>Table2[[#This Row],[Revenue]]-Table2[[#This Row],[Expense]]</f>
        <v>312449</v>
      </c>
    </row>
    <row r="358" spans="1:11">
      <c r="A358" s="16" t="s">
        <v>381</v>
      </c>
      <c r="B358" s="10">
        <v>45650</v>
      </c>
      <c r="C358" s="10" t="str">
        <f>TEXT(Table2[[#This Row],[Date]],"mmm-yyyy")</f>
        <v>Dec-2024</v>
      </c>
      <c r="D358" s="7" t="s">
        <v>4</v>
      </c>
      <c r="E358" s="7" t="s">
        <v>22</v>
      </c>
      <c r="F358" s="7">
        <v>5</v>
      </c>
      <c r="G358" s="13">
        <v>55124</v>
      </c>
      <c r="H358" s="13">
        <v>49201</v>
      </c>
      <c r="I358" s="7" t="s">
        <v>36</v>
      </c>
      <c r="J358" s="14">
        <f t="shared" si="5"/>
        <v>275620</v>
      </c>
      <c r="K358" s="14">
        <f>Table2[[#This Row],[Revenue]]-Table2[[#This Row],[Expense]]</f>
        <v>226419</v>
      </c>
    </row>
    <row r="359" spans="1:11">
      <c r="A359" s="16" t="s">
        <v>382</v>
      </c>
      <c r="B359" s="10">
        <v>45650</v>
      </c>
      <c r="C359" s="10" t="str">
        <f>TEXT(Table2[[#This Row],[Date]],"mmm-yyyy")</f>
        <v>Dec-2024</v>
      </c>
      <c r="D359" s="7" t="s">
        <v>2</v>
      </c>
      <c r="E359" s="7" t="s">
        <v>27</v>
      </c>
      <c r="F359" s="7">
        <v>6</v>
      </c>
      <c r="G359" s="13">
        <v>36535</v>
      </c>
      <c r="H359" s="13">
        <v>2171</v>
      </c>
      <c r="I359" s="7" t="s">
        <v>30</v>
      </c>
      <c r="J359" s="14">
        <f t="shared" si="5"/>
        <v>219210</v>
      </c>
      <c r="K359" s="14">
        <f>Table2[[#This Row],[Revenue]]-Table2[[#This Row],[Expense]]</f>
        <v>217039</v>
      </c>
    </row>
    <row r="360" spans="1:11">
      <c r="A360" s="16" t="s">
        <v>383</v>
      </c>
      <c r="B360" s="10">
        <v>45651</v>
      </c>
      <c r="C360" s="10" t="str">
        <f>TEXT(Table2[[#This Row],[Date]],"mmm-yyyy")</f>
        <v>Dec-2024</v>
      </c>
      <c r="D360" s="7" t="s">
        <v>1</v>
      </c>
      <c r="E360" s="7" t="s">
        <v>24</v>
      </c>
      <c r="F360" s="7">
        <v>1</v>
      </c>
      <c r="G360" s="13">
        <v>79416</v>
      </c>
      <c r="H360" s="13">
        <v>4754</v>
      </c>
      <c r="I360" s="7" t="s">
        <v>17</v>
      </c>
      <c r="J360" s="14">
        <f t="shared" si="5"/>
        <v>79416</v>
      </c>
      <c r="K360" s="14">
        <f>Table2[[#This Row],[Revenue]]-Table2[[#This Row],[Expense]]</f>
        <v>74662</v>
      </c>
    </row>
    <row r="361" spans="1:11">
      <c r="A361" s="16" t="s">
        <v>384</v>
      </c>
      <c r="B361" s="10">
        <v>45651</v>
      </c>
      <c r="C361" s="10" t="str">
        <f>TEXT(Table2[[#This Row],[Date]],"mmm-yyyy")</f>
        <v>Dec-2024</v>
      </c>
      <c r="D361" s="7" t="s">
        <v>3</v>
      </c>
      <c r="E361" s="7" t="s">
        <v>27</v>
      </c>
      <c r="F361" s="7">
        <v>2</v>
      </c>
      <c r="G361" s="13">
        <v>79112</v>
      </c>
      <c r="H361" s="13">
        <v>39356</v>
      </c>
      <c r="I361" s="7" t="s">
        <v>17</v>
      </c>
      <c r="J361" s="14">
        <f t="shared" si="5"/>
        <v>158224</v>
      </c>
      <c r="K361" s="14">
        <f>Table2[[#This Row],[Revenue]]-Table2[[#This Row],[Expense]]</f>
        <v>118868</v>
      </c>
    </row>
    <row r="362" spans="1:11">
      <c r="A362" s="16" t="s">
        <v>385</v>
      </c>
      <c r="B362" s="10">
        <v>45651</v>
      </c>
      <c r="C362" s="10" t="str">
        <f>TEXT(Table2[[#This Row],[Date]],"mmm-yyyy")</f>
        <v>Dec-2024</v>
      </c>
      <c r="D362" s="7" t="s">
        <v>4</v>
      </c>
      <c r="E362" s="7" t="s">
        <v>27</v>
      </c>
      <c r="F362" s="7">
        <v>8</v>
      </c>
      <c r="G362" s="13">
        <v>29871</v>
      </c>
      <c r="H362" s="13">
        <v>33373</v>
      </c>
      <c r="I362" s="7" t="s">
        <v>36</v>
      </c>
      <c r="J362" s="14">
        <f t="shared" si="5"/>
        <v>238968</v>
      </c>
      <c r="K362" s="14">
        <f>Table2[[#This Row],[Revenue]]-Table2[[#This Row],[Expense]]</f>
        <v>205595</v>
      </c>
    </row>
    <row r="363" spans="1:11">
      <c r="A363" s="16" t="s">
        <v>386</v>
      </c>
      <c r="B363" s="10">
        <v>45651</v>
      </c>
      <c r="C363" s="10" t="str">
        <f>TEXT(Table2[[#This Row],[Date]],"mmm-yyyy")</f>
        <v>Dec-2024</v>
      </c>
      <c r="D363" s="7" t="s">
        <v>3</v>
      </c>
      <c r="E363" s="7" t="s">
        <v>22</v>
      </c>
      <c r="F363" s="7">
        <v>2</v>
      </c>
      <c r="G363" s="13">
        <v>15922</v>
      </c>
      <c r="H363" s="13">
        <v>26643</v>
      </c>
      <c r="I363" s="7" t="s">
        <v>36</v>
      </c>
      <c r="J363" s="14">
        <f t="shared" si="5"/>
        <v>31844</v>
      </c>
      <c r="K363" s="14">
        <f>Table2[[#This Row],[Revenue]]-Table2[[#This Row],[Expense]]</f>
        <v>5201</v>
      </c>
    </row>
    <row r="364" spans="1:11">
      <c r="A364" s="16" t="s">
        <v>387</v>
      </c>
      <c r="B364" s="10">
        <v>45651</v>
      </c>
      <c r="C364" s="10" t="str">
        <f>TEXT(Table2[[#This Row],[Date]],"mmm-yyyy")</f>
        <v>Dec-2024</v>
      </c>
      <c r="D364" s="7" t="s">
        <v>4</v>
      </c>
      <c r="E364" s="7" t="s">
        <v>16</v>
      </c>
      <c r="F364" s="7">
        <v>1</v>
      </c>
      <c r="G364" s="13">
        <v>44450</v>
      </c>
      <c r="H364" s="13">
        <v>29276</v>
      </c>
      <c r="I364" s="7" t="s">
        <v>36</v>
      </c>
      <c r="J364" s="14">
        <f t="shared" si="5"/>
        <v>44450</v>
      </c>
      <c r="K364" s="14">
        <f>Table2[[#This Row],[Revenue]]-Table2[[#This Row],[Expense]]</f>
        <v>15174</v>
      </c>
    </row>
    <row r="365" spans="1:11">
      <c r="A365" s="16" t="s">
        <v>388</v>
      </c>
      <c r="B365" s="10">
        <v>45655</v>
      </c>
      <c r="C365" s="10" t="str">
        <f>TEXT(Table2[[#This Row],[Date]],"mmm-yyyy")</f>
        <v>Dec-2024</v>
      </c>
      <c r="D365" s="7" t="s">
        <v>1</v>
      </c>
      <c r="E365" s="7" t="s">
        <v>22</v>
      </c>
      <c r="F365" s="7">
        <v>5</v>
      </c>
      <c r="G365" s="13">
        <v>77243</v>
      </c>
      <c r="H365" s="13">
        <v>26498</v>
      </c>
      <c r="I365" s="7" t="s">
        <v>30</v>
      </c>
      <c r="J365" s="14">
        <f t="shared" si="5"/>
        <v>386215</v>
      </c>
      <c r="K365" s="14">
        <f>Table2[[#This Row],[Revenue]]-Table2[[#This Row],[Expense]]</f>
        <v>359717</v>
      </c>
    </row>
    <row r="366" spans="1:11">
      <c r="A366" s="16" t="s">
        <v>389</v>
      </c>
      <c r="B366" s="10">
        <v>45656</v>
      </c>
      <c r="C366" s="10" t="str">
        <f>TEXT(Table2[[#This Row],[Date]],"mmm-yyyy")</f>
        <v>Dec-2024</v>
      </c>
      <c r="D366" s="7" t="s">
        <v>1</v>
      </c>
      <c r="E366" s="7" t="s">
        <v>24</v>
      </c>
      <c r="F366" s="7">
        <v>8</v>
      </c>
      <c r="G366" s="13">
        <v>30456</v>
      </c>
      <c r="H366" s="13">
        <v>19888</v>
      </c>
      <c r="I366" s="7" t="s">
        <v>17</v>
      </c>
      <c r="J366" s="14">
        <f t="shared" si="5"/>
        <v>243648</v>
      </c>
      <c r="K366" s="14">
        <f>Table2[[#This Row],[Revenue]]-Table2[[#This Row],[Expense]]</f>
        <v>223760</v>
      </c>
    </row>
    <row r="367" spans="1:11">
      <c r="A367" s="16" t="s">
        <v>390</v>
      </c>
      <c r="B367" s="10">
        <v>45657</v>
      </c>
      <c r="C367" s="10" t="str">
        <f>TEXT(Table2[[#This Row],[Date]],"mmm-yyyy")</f>
        <v>Dec-2024</v>
      </c>
      <c r="D367" s="7" t="s">
        <v>3</v>
      </c>
      <c r="E367" s="7" t="s">
        <v>24</v>
      </c>
      <c r="F367" s="7">
        <v>3</v>
      </c>
      <c r="G367" s="13">
        <v>6672</v>
      </c>
      <c r="H367" s="13">
        <v>40951</v>
      </c>
      <c r="I367" s="7" t="s">
        <v>36</v>
      </c>
      <c r="J367" s="14">
        <f t="shared" si="5"/>
        <v>20016</v>
      </c>
      <c r="K367" s="14">
        <f>Table2[[#This Row],[Revenue]]-Table2[[#This Row],[Expense]]</f>
        <v>-20935</v>
      </c>
    </row>
    <row r="368" spans="1:11">
      <c r="A368" s="16" t="s">
        <v>391</v>
      </c>
      <c r="B368" s="10">
        <v>45658</v>
      </c>
      <c r="C368" s="10" t="str">
        <f>TEXT(Table2[[#This Row],[Date]],"mmm-yyyy")</f>
        <v>Jan-2025</v>
      </c>
      <c r="D368" s="7" t="s">
        <v>4</v>
      </c>
      <c r="E368" s="7" t="s">
        <v>16</v>
      </c>
      <c r="F368" s="7">
        <v>9</v>
      </c>
      <c r="G368" s="13">
        <v>58848</v>
      </c>
      <c r="H368" s="13">
        <v>18081</v>
      </c>
      <c r="I368" s="7" t="s">
        <v>17</v>
      </c>
      <c r="J368" s="14">
        <f t="shared" si="5"/>
        <v>529632</v>
      </c>
      <c r="K368" s="14">
        <f>Table2[[#This Row],[Revenue]]-Table2[[#This Row],[Expense]]</f>
        <v>511551</v>
      </c>
    </row>
    <row r="369" spans="1:11">
      <c r="A369" s="16" t="s">
        <v>392</v>
      </c>
      <c r="B369" s="10">
        <v>45658</v>
      </c>
      <c r="C369" s="10" t="str">
        <f>TEXT(Table2[[#This Row],[Date]],"mmm-yyyy")</f>
        <v>Jan-2025</v>
      </c>
      <c r="D369" s="7" t="s">
        <v>1</v>
      </c>
      <c r="E369" s="7" t="s">
        <v>27</v>
      </c>
      <c r="F369" s="7">
        <v>1</v>
      </c>
      <c r="G369" s="13">
        <v>59689</v>
      </c>
      <c r="H369" s="13">
        <v>6997</v>
      </c>
      <c r="I369" s="7" t="s">
        <v>17</v>
      </c>
      <c r="J369" s="14">
        <f t="shared" si="5"/>
        <v>59689</v>
      </c>
      <c r="K369" s="14">
        <f>Table2[[#This Row],[Revenue]]-Table2[[#This Row],[Expense]]</f>
        <v>52692</v>
      </c>
    </row>
    <row r="370" spans="1:11">
      <c r="A370" s="16" t="s">
        <v>393</v>
      </c>
      <c r="B370" s="10">
        <v>45658</v>
      </c>
      <c r="C370" s="10" t="str">
        <f>TEXT(Table2[[#This Row],[Date]],"mmm-yyyy")</f>
        <v>Jan-2025</v>
      </c>
      <c r="D370" s="7" t="s">
        <v>26</v>
      </c>
      <c r="E370" s="7" t="s">
        <v>32</v>
      </c>
      <c r="F370" s="7">
        <v>9</v>
      </c>
      <c r="G370" s="13">
        <v>35644</v>
      </c>
      <c r="H370" s="13">
        <v>21215</v>
      </c>
      <c r="I370" s="7" t="s">
        <v>17</v>
      </c>
      <c r="J370" s="14">
        <f t="shared" si="5"/>
        <v>320796</v>
      </c>
      <c r="K370" s="14">
        <f>Table2[[#This Row],[Revenue]]-Table2[[#This Row],[Expense]]</f>
        <v>299581</v>
      </c>
    </row>
    <row r="371" spans="1:11">
      <c r="A371" s="16" t="s">
        <v>394</v>
      </c>
      <c r="B371" s="10">
        <v>45660</v>
      </c>
      <c r="C371" s="10" t="str">
        <f>TEXT(Table2[[#This Row],[Date]],"mmm-yyyy")</f>
        <v>Jan-2025</v>
      </c>
      <c r="D371" s="7" t="s">
        <v>1</v>
      </c>
      <c r="E371" s="7" t="s">
        <v>24</v>
      </c>
      <c r="F371" s="7">
        <v>5</v>
      </c>
      <c r="G371" s="13">
        <v>24522</v>
      </c>
      <c r="H371" s="13">
        <v>7710</v>
      </c>
      <c r="I371" s="7" t="s">
        <v>30</v>
      </c>
      <c r="J371" s="14">
        <f t="shared" si="5"/>
        <v>122610</v>
      </c>
      <c r="K371" s="14">
        <f>Table2[[#This Row],[Revenue]]-Table2[[#This Row],[Expense]]</f>
        <v>114900</v>
      </c>
    </row>
    <row r="372" spans="1:11">
      <c r="A372" s="16" t="s">
        <v>395</v>
      </c>
      <c r="B372" s="10">
        <v>45662</v>
      </c>
      <c r="C372" s="10" t="str">
        <f>TEXT(Table2[[#This Row],[Date]],"mmm-yyyy")</f>
        <v>Jan-2025</v>
      </c>
      <c r="D372" s="7" t="s">
        <v>2</v>
      </c>
      <c r="E372" s="7" t="s">
        <v>27</v>
      </c>
      <c r="F372" s="7">
        <v>9</v>
      </c>
      <c r="G372" s="13">
        <v>45357</v>
      </c>
      <c r="H372" s="13">
        <v>31129</v>
      </c>
      <c r="I372" s="7" t="s">
        <v>30</v>
      </c>
      <c r="J372" s="14">
        <f t="shared" si="5"/>
        <v>408213</v>
      </c>
      <c r="K372" s="14">
        <f>Table2[[#This Row],[Revenue]]-Table2[[#This Row],[Expense]]</f>
        <v>377084</v>
      </c>
    </row>
    <row r="373" spans="1:11">
      <c r="A373" s="16" t="s">
        <v>396</v>
      </c>
      <c r="B373" s="10">
        <v>45663</v>
      </c>
      <c r="C373" s="10" t="str">
        <f>TEXT(Table2[[#This Row],[Date]],"mmm-yyyy")</f>
        <v>Jan-2025</v>
      </c>
      <c r="D373" s="7" t="s">
        <v>2</v>
      </c>
      <c r="E373" s="7" t="s">
        <v>16</v>
      </c>
      <c r="F373" s="7">
        <v>6</v>
      </c>
      <c r="G373" s="13">
        <v>78366</v>
      </c>
      <c r="H373" s="13">
        <v>49777</v>
      </c>
      <c r="I373" s="7" t="s">
        <v>36</v>
      </c>
      <c r="J373" s="14">
        <f t="shared" si="5"/>
        <v>470196</v>
      </c>
      <c r="K373" s="14">
        <f>Table2[[#This Row],[Revenue]]-Table2[[#This Row],[Expense]]</f>
        <v>420419</v>
      </c>
    </row>
    <row r="374" spans="1:11">
      <c r="A374" s="16" t="s">
        <v>397</v>
      </c>
      <c r="B374" s="10">
        <v>45664</v>
      </c>
      <c r="C374" s="10" t="str">
        <f>TEXT(Table2[[#This Row],[Date]],"mmm-yyyy")</f>
        <v>Jan-2025</v>
      </c>
      <c r="D374" s="7" t="s">
        <v>15</v>
      </c>
      <c r="E374" s="7" t="s">
        <v>27</v>
      </c>
      <c r="F374" s="7">
        <v>8</v>
      </c>
      <c r="G374" s="13">
        <v>20008</v>
      </c>
      <c r="H374" s="13">
        <v>30739</v>
      </c>
      <c r="I374" s="7" t="s">
        <v>36</v>
      </c>
      <c r="J374" s="14">
        <f t="shared" si="5"/>
        <v>160064</v>
      </c>
      <c r="K374" s="14">
        <f>Table2[[#This Row],[Revenue]]-Table2[[#This Row],[Expense]]</f>
        <v>129325</v>
      </c>
    </row>
    <row r="375" spans="1:11">
      <c r="A375" s="16" t="s">
        <v>398</v>
      </c>
      <c r="B375" s="10">
        <v>45664</v>
      </c>
      <c r="C375" s="10" t="str">
        <f>TEXT(Table2[[#This Row],[Date]],"mmm-yyyy")</f>
        <v>Jan-2025</v>
      </c>
      <c r="D375" s="7" t="s">
        <v>26</v>
      </c>
      <c r="E375" s="7" t="s">
        <v>32</v>
      </c>
      <c r="F375" s="7">
        <v>4</v>
      </c>
      <c r="G375" s="13">
        <v>60265</v>
      </c>
      <c r="H375" s="13">
        <v>17021</v>
      </c>
      <c r="I375" s="7" t="s">
        <v>30</v>
      </c>
      <c r="J375" s="14">
        <f t="shared" si="5"/>
        <v>241060</v>
      </c>
      <c r="K375" s="14">
        <f>Table2[[#This Row],[Revenue]]-Table2[[#This Row],[Expense]]</f>
        <v>224039</v>
      </c>
    </row>
    <row r="376" spans="1:11">
      <c r="A376" s="16" t="s">
        <v>399</v>
      </c>
      <c r="B376" s="10">
        <v>45665</v>
      </c>
      <c r="C376" s="10" t="str">
        <f>TEXT(Table2[[#This Row],[Date]],"mmm-yyyy")</f>
        <v>Jan-2025</v>
      </c>
      <c r="D376" s="7" t="s">
        <v>4</v>
      </c>
      <c r="E376" s="7" t="s">
        <v>32</v>
      </c>
      <c r="F376" s="7">
        <v>2</v>
      </c>
      <c r="G376" s="13">
        <v>63633</v>
      </c>
      <c r="H376" s="13">
        <v>32703</v>
      </c>
      <c r="I376" s="7" t="s">
        <v>19</v>
      </c>
      <c r="J376" s="14">
        <f t="shared" si="5"/>
        <v>127266</v>
      </c>
      <c r="K376" s="14">
        <f>Table2[[#This Row],[Revenue]]-Table2[[#This Row],[Expense]]</f>
        <v>94563</v>
      </c>
    </row>
    <row r="377" spans="1:11">
      <c r="A377" s="16" t="s">
        <v>400</v>
      </c>
      <c r="B377" s="10">
        <v>45666</v>
      </c>
      <c r="C377" s="10" t="str">
        <f>TEXT(Table2[[#This Row],[Date]],"mmm-yyyy")</f>
        <v>Jan-2025</v>
      </c>
      <c r="D377" s="7" t="s">
        <v>15</v>
      </c>
      <c r="E377" s="7" t="s">
        <v>24</v>
      </c>
      <c r="F377" s="7">
        <v>2</v>
      </c>
      <c r="G377" s="13">
        <v>48855</v>
      </c>
      <c r="H377" s="13">
        <v>31930</v>
      </c>
      <c r="I377" s="7" t="s">
        <v>30</v>
      </c>
      <c r="J377" s="14">
        <f t="shared" si="5"/>
        <v>97710</v>
      </c>
      <c r="K377" s="14">
        <f>Table2[[#This Row],[Revenue]]-Table2[[#This Row],[Expense]]</f>
        <v>65780</v>
      </c>
    </row>
    <row r="378" spans="1:11">
      <c r="A378" s="16" t="s">
        <v>401</v>
      </c>
      <c r="B378" s="10">
        <v>45668</v>
      </c>
      <c r="C378" s="10" t="str">
        <f>TEXT(Table2[[#This Row],[Date]],"mmm-yyyy")</f>
        <v>Jan-2025</v>
      </c>
      <c r="D378" s="7" t="s">
        <v>15</v>
      </c>
      <c r="E378" s="7" t="s">
        <v>27</v>
      </c>
      <c r="F378" s="7">
        <v>1</v>
      </c>
      <c r="G378" s="13">
        <v>6282</v>
      </c>
      <c r="H378" s="13">
        <v>18073</v>
      </c>
      <c r="I378" s="7" t="s">
        <v>17</v>
      </c>
      <c r="J378" s="14">
        <f t="shared" si="5"/>
        <v>6282</v>
      </c>
      <c r="K378" s="14">
        <f>Table2[[#This Row],[Revenue]]-Table2[[#This Row],[Expense]]</f>
        <v>-11791</v>
      </c>
    </row>
    <row r="379" spans="1:11">
      <c r="A379" s="16" t="s">
        <v>402</v>
      </c>
      <c r="B379" s="10">
        <v>45670</v>
      </c>
      <c r="C379" s="10" t="str">
        <f>TEXT(Table2[[#This Row],[Date]],"mmm-yyyy")</f>
        <v>Jan-2025</v>
      </c>
      <c r="D379" s="7" t="s">
        <v>15</v>
      </c>
      <c r="E379" s="7" t="s">
        <v>22</v>
      </c>
      <c r="F379" s="7">
        <v>9</v>
      </c>
      <c r="G379" s="13">
        <v>42121</v>
      </c>
      <c r="H379" s="13">
        <v>35051</v>
      </c>
      <c r="I379" s="7" t="s">
        <v>30</v>
      </c>
      <c r="J379" s="14">
        <f t="shared" si="5"/>
        <v>379089</v>
      </c>
      <c r="K379" s="14">
        <f>Table2[[#This Row],[Revenue]]-Table2[[#This Row],[Expense]]</f>
        <v>344038</v>
      </c>
    </row>
    <row r="380" spans="1:11">
      <c r="A380" s="16" t="s">
        <v>403</v>
      </c>
      <c r="B380" s="10">
        <v>45671</v>
      </c>
      <c r="C380" s="10" t="str">
        <f>TEXT(Table2[[#This Row],[Date]],"mmm-yyyy")</f>
        <v>Jan-2025</v>
      </c>
      <c r="D380" s="7" t="s">
        <v>3</v>
      </c>
      <c r="E380" s="7" t="s">
        <v>32</v>
      </c>
      <c r="F380" s="7">
        <v>7</v>
      </c>
      <c r="G380" s="13">
        <v>24169</v>
      </c>
      <c r="H380" s="13">
        <v>44934</v>
      </c>
      <c r="I380" s="7" t="s">
        <v>19</v>
      </c>
      <c r="J380" s="14">
        <f t="shared" si="5"/>
        <v>169183</v>
      </c>
      <c r="K380" s="14">
        <f>Table2[[#This Row],[Revenue]]-Table2[[#This Row],[Expense]]</f>
        <v>124249</v>
      </c>
    </row>
    <row r="381" spans="1:11">
      <c r="A381" s="16" t="s">
        <v>404</v>
      </c>
      <c r="B381" s="10">
        <v>45671</v>
      </c>
      <c r="C381" s="10" t="str">
        <f>TEXT(Table2[[#This Row],[Date]],"mmm-yyyy")</f>
        <v>Jan-2025</v>
      </c>
      <c r="D381" s="7" t="s">
        <v>2</v>
      </c>
      <c r="E381" s="7" t="s">
        <v>27</v>
      </c>
      <c r="F381" s="7">
        <v>7</v>
      </c>
      <c r="G381" s="13">
        <v>11256</v>
      </c>
      <c r="H381" s="13">
        <v>16078</v>
      </c>
      <c r="I381" s="7" t="s">
        <v>17</v>
      </c>
      <c r="J381" s="14">
        <f t="shared" si="5"/>
        <v>78792</v>
      </c>
      <c r="K381" s="14">
        <f>Table2[[#This Row],[Revenue]]-Table2[[#This Row],[Expense]]</f>
        <v>62714</v>
      </c>
    </row>
    <row r="382" spans="1:11">
      <c r="A382" s="16" t="s">
        <v>405</v>
      </c>
      <c r="B382" s="10">
        <v>45671</v>
      </c>
      <c r="C382" s="10" t="str">
        <f>TEXT(Table2[[#This Row],[Date]],"mmm-yyyy")</f>
        <v>Jan-2025</v>
      </c>
      <c r="D382" s="7" t="s">
        <v>1</v>
      </c>
      <c r="E382" s="7" t="s">
        <v>24</v>
      </c>
      <c r="F382" s="7">
        <v>3</v>
      </c>
      <c r="G382" s="13">
        <v>10003</v>
      </c>
      <c r="H382" s="13">
        <v>19058</v>
      </c>
      <c r="I382" s="7" t="s">
        <v>36</v>
      </c>
      <c r="J382" s="14">
        <f t="shared" si="5"/>
        <v>30009</v>
      </c>
      <c r="K382" s="14">
        <f>Table2[[#This Row],[Revenue]]-Table2[[#This Row],[Expense]]</f>
        <v>10951</v>
      </c>
    </row>
    <row r="383" spans="1:11">
      <c r="A383" s="16" t="s">
        <v>406</v>
      </c>
      <c r="B383" s="10">
        <v>45675</v>
      </c>
      <c r="C383" s="10" t="str">
        <f>TEXT(Table2[[#This Row],[Date]],"mmm-yyyy")</f>
        <v>Jan-2025</v>
      </c>
      <c r="D383" s="7" t="s">
        <v>15</v>
      </c>
      <c r="E383" s="7" t="s">
        <v>22</v>
      </c>
      <c r="F383" s="7">
        <v>3</v>
      </c>
      <c r="G383" s="13">
        <v>4131</v>
      </c>
      <c r="H383" s="13">
        <v>45918</v>
      </c>
      <c r="I383" s="7" t="s">
        <v>19</v>
      </c>
      <c r="J383" s="14">
        <f t="shared" si="5"/>
        <v>12393</v>
      </c>
      <c r="K383" s="14">
        <f>Table2[[#This Row],[Revenue]]-Table2[[#This Row],[Expense]]</f>
        <v>-33525</v>
      </c>
    </row>
    <row r="384" spans="1:11">
      <c r="A384" s="16" t="s">
        <v>407</v>
      </c>
      <c r="B384" s="10">
        <v>45675</v>
      </c>
      <c r="C384" s="10" t="str">
        <f>TEXT(Table2[[#This Row],[Date]],"mmm-yyyy")</f>
        <v>Jan-2025</v>
      </c>
      <c r="D384" s="7" t="s">
        <v>3</v>
      </c>
      <c r="E384" s="7" t="s">
        <v>16</v>
      </c>
      <c r="F384" s="7">
        <v>9</v>
      </c>
      <c r="G384" s="13">
        <v>23114</v>
      </c>
      <c r="H384" s="13">
        <v>37632</v>
      </c>
      <c r="I384" s="7" t="s">
        <v>30</v>
      </c>
      <c r="J384" s="14">
        <f t="shared" si="5"/>
        <v>208026</v>
      </c>
      <c r="K384" s="14">
        <f>Table2[[#This Row],[Revenue]]-Table2[[#This Row],[Expense]]</f>
        <v>170394</v>
      </c>
    </row>
    <row r="385" spans="1:11">
      <c r="A385" s="16" t="s">
        <v>408</v>
      </c>
      <c r="B385" s="10">
        <v>45676</v>
      </c>
      <c r="C385" s="10" t="str">
        <f>TEXT(Table2[[#This Row],[Date]],"mmm-yyyy")</f>
        <v>Jan-2025</v>
      </c>
      <c r="D385" s="7" t="s">
        <v>1</v>
      </c>
      <c r="E385" s="7" t="s">
        <v>27</v>
      </c>
      <c r="F385" s="7">
        <v>4</v>
      </c>
      <c r="G385" s="13">
        <v>16663</v>
      </c>
      <c r="H385" s="13">
        <v>48299</v>
      </c>
      <c r="I385" s="7" t="s">
        <v>19</v>
      </c>
      <c r="J385" s="14">
        <f t="shared" si="5"/>
        <v>66652</v>
      </c>
      <c r="K385" s="14">
        <f>Table2[[#This Row],[Revenue]]-Table2[[#This Row],[Expense]]</f>
        <v>18353</v>
      </c>
    </row>
    <row r="386" spans="1:11">
      <c r="A386" s="16" t="s">
        <v>409</v>
      </c>
      <c r="B386" s="10">
        <v>45676</v>
      </c>
      <c r="C386" s="10" t="str">
        <f>TEXT(Table2[[#This Row],[Date]],"mmm-yyyy")</f>
        <v>Jan-2025</v>
      </c>
      <c r="D386" s="7" t="s">
        <v>2</v>
      </c>
      <c r="E386" s="7" t="s">
        <v>16</v>
      </c>
      <c r="F386" s="7">
        <v>5</v>
      </c>
      <c r="G386" s="13">
        <v>51612</v>
      </c>
      <c r="H386" s="13">
        <v>2633</v>
      </c>
      <c r="I386" s="7" t="s">
        <v>19</v>
      </c>
      <c r="J386" s="14">
        <f t="shared" ref="J386:J449" si="6">G386*F386</f>
        <v>258060</v>
      </c>
      <c r="K386" s="14">
        <f>Table2[[#This Row],[Revenue]]-Table2[[#This Row],[Expense]]</f>
        <v>255427</v>
      </c>
    </row>
    <row r="387" spans="1:11">
      <c r="A387" s="16" t="s">
        <v>410</v>
      </c>
      <c r="B387" s="10">
        <v>45676</v>
      </c>
      <c r="C387" s="10" t="str">
        <f>TEXT(Table2[[#This Row],[Date]],"mmm-yyyy")</f>
        <v>Jan-2025</v>
      </c>
      <c r="D387" s="7" t="s">
        <v>15</v>
      </c>
      <c r="E387" s="7" t="s">
        <v>24</v>
      </c>
      <c r="F387" s="7">
        <v>3</v>
      </c>
      <c r="G387" s="13">
        <v>60928</v>
      </c>
      <c r="H387" s="13">
        <v>22038</v>
      </c>
      <c r="I387" s="7" t="s">
        <v>30</v>
      </c>
      <c r="J387" s="14">
        <f t="shared" si="6"/>
        <v>182784</v>
      </c>
      <c r="K387" s="14">
        <f>Table2[[#This Row],[Revenue]]-Table2[[#This Row],[Expense]]</f>
        <v>160746</v>
      </c>
    </row>
    <row r="388" spans="1:11">
      <c r="A388" s="16" t="s">
        <v>411</v>
      </c>
      <c r="B388" s="10">
        <v>45677</v>
      </c>
      <c r="C388" s="10" t="str">
        <f>TEXT(Table2[[#This Row],[Date]],"mmm-yyyy")</f>
        <v>Jan-2025</v>
      </c>
      <c r="D388" s="7" t="s">
        <v>26</v>
      </c>
      <c r="E388" s="7" t="s">
        <v>22</v>
      </c>
      <c r="F388" s="7">
        <v>7</v>
      </c>
      <c r="G388" s="13">
        <v>27708</v>
      </c>
      <c r="H388" s="13">
        <v>6926</v>
      </c>
      <c r="I388" s="7" t="s">
        <v>17</v>
      </c>
      <c r="J388" s="14">
        <f t="shared" si="6"/>
        <v>193956</v>
      </c>
      <c r="K388" s="14">
        <f>Table2[[#This Row],[Revenue]]-Table2[[#This Row],[Expense]]</f>
        <v>187030</v>
      </c>
    </row>
    <row r="389" spans="1:11">
      <c r="A389" s="16" t="s">
        <v>412</v>
      </c>
      <c r="B389" s="10">
        <v>45677</v>
      </c>
      <c r="C389" s="10" t="str">
        <f>TEXT(Table2[[#This Row],[Date]],"mmm-yyyy")</f>
        <v>Jan-2025</v>
      </c>
      <c r="D389" s="7" t="s">
        <v>4</v>
      </c>
      <c r="E389" s="7" t="s">
        <v>16</v>
      </c>
      <c r="F389" s="7">
        <v>4</v>
      </c>
      <c r="G389" s="13">
        <v>60389</v>
      </c>
      <c r="H389" s="13">
        <v>6110</v>
      </c>
      <c r="I389" s="7" t="s">
        <v>17</v>
      </c>
      <c r="J389" s="14">
        <f t="shared" si="6"/>
        <v>241556</v>
      </c>
      <c r="K389" s="14">
        <f>Table2[[#This Row],[Revenue]]-Table2[[#This Row],[Expense]]</f>
        <v>235446</v>
      </c>
    </row>
    <row r="390" spans="1:11">
      <c r="A390" s="16" t="s">
        <v>413</v>
      </c>
      <c r="B390" s="10">
        <v>45677</v>
      </c>
      <c r="C390" s="10" t="str">
        <f>TEXT(Table2[[#This Row],[Date]],"mmm-yyyy")</f>
        <v>Jan-2025</v>
      </c>
      <c r="D390" s="7" t="s">
        <v>2</v>
      </c>
      <c r="E390" s="7" t="s">
        <v>16</v>
      </c>
      <c r="F390" s="7">
        <v>7</v>
      </c>
      <c r="G390" s="13">
        <v>73409</v>
      </c>
      <c r="H390" s="13">
        <v>26470</v>
      </c>
      <c r="I390" s="7" t="s">
        <v>17</v>
      </c>
      <c r="J390" s="14">
        <f t="shared" si="6"/>
        <v>513863</v>
      </c>
      <c r="K390" s="14">
        <f>Table2[[#This Row],[Revenue]]-Table2[[#This Row],[Expense]]</f>
        <v>487393</v>
      </c>
    </row>
    <row r="391" spans="1:11">
      <c r="A391" s="16" t="s">
        <v>414</v>
      </c>
      <c r="B391" s="10">
        <v>45678</v>
      </c>
      <c r="C391" s="10" t="str">
        <f>TEXT(Table2[[#This Row],[Date]],"mmm-yyyy")</f>
        <v>Jan-2025</v>
      </c>
      <c r="D391" s="7" t="s">
        <v>2</v>
      </c>
      <c r="E391" s="7" t="s">
        <v>24</v>
      </c>
      <c r="F391" s="7">
        <v>3</v>
      </c>
      <c r="G391" s="13">
        <v>55749</v>
      </c>
      <c r="H391" s="13">
        <v>24017</v>
      </c>
      <c r="I391" s="7" t="s">
        <v>19</v>
      </c>
      <c r="J391" s="14">
        <f t="shared" si="6"/>
        <v>167247</v>
      </c>
      <c r="K391" s="14">
        <f>Table2[[#This Row],[Revenue]]-Table2[[#This Row],[Expense]]</f>
        <v>143230</v>
      </c>
    </row>
    <row r="392" spans="1:11">
      <c r="A392" s="16" t="s">
        <v>415</v>
      </c>
      <c r="B392" s="10">
        <v>45679</v>
      </c>
      <c r="C392" s="10" t="str">
        <f>TEXT(Table2[[#This Row],[Date]],"mmm-yyyy")</f>
        <v>Jan-2025</v>
      </c>
      <c r="D392" s="7" t="s">
        <v>4</v>
      </c>
      <c r="E392" s="7" t="s">
        <v>24</v>
      </c>
      <c r="F392" s="7">
        <v>2</v>
      </c>
      <c r="G392" s="13">
        <v>22136</v>
      </c>
      <c r="H392" s="13">
        <v>14944</v>
      </c>
      <c r="I392" s="7" t="s">
        <v>36</v>
      </c>
      <c r="J392" s="14">
        <f t="shared" si="6"/>
        <v>44272</v>
      </c>
      <c r="K392" s="14">
        <f>Table2[[#This Row],[Revenue]]-Table2[[#This Row],[Expense]]</f>
        <v>29328</v>
      </c>
    </row>
    <row r="393" spans="1:11">
      <c r="A393" s="16" t="s">
        <v>416</v>
      </c>
      <c r="B393" s="10">
        <v>45679</v>
      </c>
      <c r="C393" s="10" t="str">
        <f>TEXT(Table2[[#This Row],[Date]],"mmm-yyyy")</f>
        <v>Jan-2025</v>
      </c>
      <c r="D393" s="7" t="s">
        <v>3</v>
      </c>
      <c r="E393" s="7" t="s">
        <v>22</v>
      </c>
      <c r="F393" s="7">
        <v>4</v>
      </c>
      <c r="G393" s="13">
        <v>38150</v>
      </c>
      <c r="H393" s="13">
        <v>14109</v>
      </c>
      <c r="I393" s="7" t="s">
        <v>30</v>
      </c>
      <c r="J393" s="14">
        <f t="shared" si="6"/>
        <v>152600</v>
      </c>
      <c r="K393" s="14">
        <f>Table2[[#This Row],[Revenue]]-Table2[[#This Row],[Expense]]</f>
        <v>138491</v>
      </c>
    </row>
    <row r="394" spans="1:11">
      <c r="A394" s="16" t="s">
        <v>417</v>
      </c>
      <c r="B394" s="10">
        <v>45679</v>
      </c>
      <c r="C394" s="10" t="str">
        <f>TEXT(Table2[[#This Row],[Date]],"mmm-yyyy")</f>
        <v>Jan-2025</v>
      </c>
      <c r="D394" s="7" t="s">
        <v>1</v>
      </c>
      <c r="E394" s="7" t="s">
        <v>27</v>
      </c>
      <c r="F394" s="7">
        <v>9</v>
      </c>
      <c r="G394" s="13">
        <v>74569</v>
      </c>
      <c r="H394" s="13">
        <v>47907</v>
      </c>
      <c r="I394" s="7" t="s">
        <v>19</v>
      </c>
      <c r="J394" s="14">
        <f t="shared" si="6"/>
        <v>671121</v>
      </c>
      <c r="K394" s="14">
        <f>Table2[[#This Row],[Revenue]]-Table2[[#This Row],[Expense]]</f>
        <v>623214</v>
      </c>
    </row>
    <row r="395" spans="1:11">
      <c r="A395" s="16" t="s">
        <v>418</v>
      </c>
      <c r="B395" s="10">
        <v>45681</v>
      </c>
      <c r="C395" s="10" t="str">
        <f>TEXT(Table2[[#This Row],[Date]],"mmm-yyyy")</f>
        <v>Jan-2025</v>
      </c>
      <c r="D395" s="7" t="s">
        <v>2</v>
      </c>
      <c r="E395" s="7" t="s">
        <v>24</v>
      </c>
      <c r="F395" s="7">
        <v>5</v>
      </c>
      <c r="G395" s="13">
        <v>46913</v>
      </c>
      <c r="H395" s="13">
        <v>15537</v>
      </c>
      <c r="I395" s="7" t="s">
        <v>17</v>
      </c>
      <c r="J395" s="14">
        <f t="shared" si="6"/>
        <v>234565</v>
      </c>
      <c r="K395" s="14">
        <f>Table2[[#This Row],[Revenue]]-Table2[[#This Row],[Expense]]</f>
        <v>219028</v>
      </c>
    </row>
    <row r="396" spans="1:11">
      <c r="A396" s="16" t="s">
        <v>419</v>
      </c>
      <c r="B396" s="10">
        <v>45683</v>
      </c>
      <c r="C396" s="10" t="str">
        <f>TEXT(Table2[[#This Row],[Date]],"mmm-yyyy")</f>
        <v>Jan-2025</v>
      </c>
      <c r="D396" s="7" t="s">
        <v>4</v>
      </c>
      <c r="E396" s="7" t="s">
        <v>22</v>
      </c>
      <c r="F396" s="7">
        <v>2</v>
      </c>
      <c r="G396" s="13">
        <v>26660</v>
      </c>
      <c r="H396" s="13">
        <v>22621</v>
      </c>
      <c r="I396" s="7" t="s">
        <v>36</v>
      </c>
      <c r="J396" s="14">
        <f t="shared" si="6"/>
        <v>53320</v>
      </c>
      <c r="K396" s="14">
        <f>Table2[[#This Row],[Revenue]]-Table2[[#This Row],[Expense]]</f>
        <v>30699</v>
      </c>
    </row>
    <row r="397" spans="1:11">
      <c r="A397" s="16" t="s">
        <v>420</v>
      </c>
      <c r="B397" s="10">
        <v>45683</v>
      </c>
      <c r="C397" s="10" t="str">
        <f>TEXT(Table2[[#This Row],[Date]],"mmm-yyyy")</f>
        <v>Jan-2025</v>
      </c>
      <c r="D397" s="7" t="s">
        <v>26</v>
      </c>
      <c r="E397" s="7" t="s">
        <v>16</v>
      </c>
      <c r="F397" s="7">
        <v>6</v>
      </c>
      <c r="G397" s="13">
        <v>42491</v>
      </c>
      <c r="H397" s="13">
        <v>27515</v>
      </c>
      <c r="I397" s="7" t="s">
        <v>17</v>
      </c>
      <c r="J397" s="14">
        <f t="shared" si="6"/>
        <v>254946</v>
      </c>
      <c r="K397" s="14">
        <f>Table2[[#This Row],[Revenue]]-Table2[[#This Row],[Expense]]</f>
        <v>227431</v>
      </c>
    </row>
    <row r="398" spans="1:11">
      <c r="A398" s="16" t="s">
        <v>421</v>
      </c>
      <c r="B398" s="10">
        <v>45684</v>
      </c>
      <c r="C398" s="10" t="str">
        <f>TEXT(Table2[[#This Row],[Date]],"mmm-yyyy")</f>
        <v>Jan-2025</v>
      </c>
      <c r="D398" s="7" t="s">
        <v>26</v>
      </c>
      <c r="E398" s="7" t="s">
        <v>16</v>
      </c>
      <c r="F398" s="7">
        <v>6</v>
      </c>
      <c r="G398" s="13">
        <v>68508</v>
      </c>
      <c r="H398" s="13">
        <v>44363</v>
      </c>
      <c r="I398" s="7" t="s">
        <v>36</v>
      </c>
      <c r="J398" s="14">
        <f t="shared" si="6"/>
        <v>411048</v>
      </c>
      <c r="K398" s="14">
        <f>Table2[[#This Row],[Revenue]]-Table2[[#This Row],[Expense]]</f>
        <v>366685</v>
      </c>
    </row>
    <row r="399" spans="1:11">
      <c r="A399" s="16" t="s">
        <v>422</v>
      </c>
      <c r="B399" s="10">
        <v>45686</v>
      </c>
      <c r="C399" s="10" t="str">
        <f>TEXT(Table2[[#This Row],[Date]],"mmm-yyyy")</f>
        <v>Jan-2025</v>
      </c>
      <c r="D399" s="7" t="s">
        <v>1</v>
      </c>
      <c r="E399" s="7" t="s">
        <v>32</v>
      </c>
      <c r="F399" s="7">
        <v>8</v>
      </c>
      <c r="G399" s="13">
        <v>40422</v>
      </c>
      <c r="H399" s="13">
        <v>11800</v>
      </c>
      <c r="I399" s="7" t="s">
        <v>30</v>
      </c>
      <c r="J399" s="14">
        <f t="shared" si="6"/>
        <v>323376</v>
      </c>
      <c r="K399" s="14">
        <f>Table2[[#This Row],[Revenue]]-Table2[[#This Row],[Expense]]</f>
        <v>311576</v>
      </c>
    </row>
    <row r="400" spans="1:11">
      <c r="A400" s="16" t="s">
        <v>423</v>
      </c>
      <c r="B400" s="10">
        <v>45689</v>
      </c>
      <c r="C400" s="10" t="str">
        <f>TEXT(Table2[[#This Row],[Date]],"mmm-yyyy")</f>
        <v>Feb-2025</v>
      </c>
      <c r="D400" s="7" t="s">
        <v>2</v>
      </c>
      <c r="E400" s="7" t="s">
        <v>27</v>
      </c>
      <c r="F400" s="7">
        <v>9</v>
      </c>
      <c r="G400" s="13">
        <v>31867</v>
      </c>
      <c r="H400" s="13">
        <v>3096</v>
      </c>
      <c r="I400" s="7" t="s">
        <v>30</v>
      </c>
      <c r="J400" s="14">
        <f t="shared" si="6"/>
        <v>286803</v>
      </c>
      <c r="K400" s="14">
        <f>Table2[[#This Row],[Revenue]]-Table2[[#This Row],[Expense]]</f>
        <v>283707</v>
      </c>
    </row>
    <row r="401" spans="1:11">
      <c r="A401" s="16" t="s">
        <v>424</v>
      </c>
      <c r="B401" s="10">
        <v>45689</v>
      </c>
      <c r="C401" s="10" t="str">
        <f>TEXT(Table2[[#This Row],[Date]],"mmm-yyyy")</f>
        <v>Feb-2025</v>
      </c>
      <c r="D401" s="7" t="s">
        <v>1</v>
      </c>
      <c r="E401" s="7" t="s">
        <v>16</v>
      </c>
      <c r="F401" s="7">
        <v>7</v>
      </c>
      <c r="G401" s="13">
        <v>56992</v>
      </c>
      <c r="H401" s="13">
        <v>9004</v>
      </c>
      <c r="I401" s="7" t="s">
        <v>19</v>
      </c>
      <c r="J401" s="14">
        <f t="shared" si="6"/>
        <v>398944</v>
      </c>
      <c r="K401" s="14">
        <f>Table2[[#This Row],[Revenue]]-Table2[[#This Row],[Expense]]</f>
        <v>389940</v>
      </c>
    </row>
    <row r="402" spans="1:11">
      <c r="A402" s="16" t="s">
        <v>425</v>
      </c>
      <c r="B402" s="10">
        <v>45692</v>
      </c>
      <c r="C402" s="10" t="str">
        <f>TEXT(Table2[[#This Row],[Date]],"mmm-yyyy")</f>
        <v>Feb-2025</v>
      </c>
      <c r="D402" s="7" t="s">
        <v>1</v>
      </c>
      <c r="E402" s="7" t="s">
        <v>27</v>
      </c>
      <c r="F402" s="7">
        <v>3</v>
      </c>
      <c r="G402" s="13">
        <v>52688</v>
      </c>
      <c r="H402" s="13">
        <v>28733</v>
      </c>
      <c r="I402" s="7" t="s">
        <v>17</v>
      </c>
      <c r="J402" s="14">
        <f t="shared" si="6"/>
        <v>158064</v>
      </c>
      <c r="K402" s="14">
        <f>Table2[[#This Row],[Revenue]]-Table2[[#This Row],[Expense]]</f>
        <v>129331</v>
      </c>
    </row>
    <row r="403" spans="1:11">
      <c r="A403" s="16" t="s">
        <v>426</v>
      </c>
      <c r="B403" s="10">
        <v>45692</v>
      </c>
      <c r="C403" s="10" t="str">
        <f>TEXT(Table2[[#This Row],[Date]],"mmm-yyyy")</f>
        <v>Feb-2025</v>
      </c>
      <c r="D403" s="7" t="s">
        <v>2</v>
      </c>
      <c r="E403" s="7" t="s">
        <v>22</v>
      </c>
      <c r="F403" s="7">
        <v>9</v>
      </c>
      <c r="G403" s="13">
        <v>64030</v>
      </c>
      <c r="H403" s="13">
        <v>33994</v>
      </c>
      <c r="I403" s="7" t="s">
        <v>36</v>
      </c>
      <c r="J403" s="14">
        <f t="shared" si="6"/>
        <v>576270</v>
      </c>
      <c r="K403" s="14">
        <f>Table2[[#This Row],[Revenue]]-Table2[[#This Row],[Expense]]</f>
        <v>542276</v>
      </c>
    </row>
    <row r="404" spans="1:11">
      <c r="A404" s="16" t="s">
        <v>427</v>
      </c>
      <c r="B404" s="10">
        <v>45693</v>
      </c>
      <c r="C404" s="10" t="str">
        <f>TEXT(Table2[[#This Row],[Date]],"mmm-yyyy")</f>
        <v>Feb-2025</v>
      </c>
      <c r="D404" s="7" t="s">
        <v>26</v>
      </c>
      <c r="E404" s="7" t="s">
        <v>24</v>
      </c>
      <c r="F404" s="7">
        <v>8</v>
      </c>
      <c r="G404" s="13">
        <v>72930</v>
      </c>
      <c r="H404" s="13">
        <v>44590</v>
      </c>
      <c r="I404" s="7" t="s">
        <v>19</v>
      </c>
      <c r="J404" s="14">
        <f t="shared" si="6"/>
        <v>583440</v>
      </c>
      <c r="K404" s="14">
        <f>Table2[[#This Row],[Revenue]]-Table2[[#This Row],[Expense]]</f>
        <v>538850</v>
      </c>
    </row>
    <row r="405" spans="1:11">
      <c r="A405" s="16" t="s">
        <v>428</v>
      </c>
      <c r="B405" s="10">
        <v>45693</v>
      </c>
      <c r="C405" s="10" t="str">
        <f>TEXT(Table2[[#This Row],[Date]],"mmm-yyyy")</f>
        <v>Feb-2025</v>
      </c>
      <c r="D405" s="7" t="s">
        <v>4</v>
      </c>
      <c r="E405" s="7" t="s">
        <v>16</v>
      </c>
      <c r="F405" s="7">
        <v>7</v>
      </c>
      <c r="G405" s="13">
        <v>50223</v>
      </c>
      <c r="H405" s="13">
        <v>16149</v>
      </c>
      <c r="I405" s="7" t="s">
        <v>30</v>
      </c>
      <c r="J405" s="14">
        <f t="shared" si="6"/>
        <v>351561</v>
      </c>
      <c r="K405" s="14">
        <f>Table2[[#This Row],[Revenue]]-Table2[[#This Row],[Expense]]</f>
        <v>335412</v>
      </c>
    </row>
    <row r="406" spans="1:11">
      <c r="A406" s="16" t="s">
        <v>429</v>
      </c>
      <c r="B406" s="10">
        <v>45694</v>
      </c>
      <c r="C406" s="10" t="str">
        <f>TEXT(Table2[[#This Row],[Date]],"mmm-yyyy")</f>
        <v>Feb-2025</v>
      </c>
      <c r="D406" s="7" t="s">
        <v>1</v>
      </c>
      <c r="E406" s="7" t="s">
        <v>27</v>
      </c>
      <c r="F406" s="7">
        <v>2</v>
      </c>
      <c r="G406" s="13">
        <v>23929</v>
      </c>
      <c r="H406" s="13">
        <v>13485</v>
      </c>
      <c r="I406" s="7" t="s">
        <v>30</v>
      </c>
      <c r="J406" s="14">
        <f t="shared" si="6"/>
        <v>47858</v>
      </c>
      <c r="K406" s="14">
        <f>Table2[[#This Row],[Revenue]]-Table2[[#This Row],[Expense]]</f>
        <v>34373</v>
      </c>
    </row>
    <row r="407" spans="1:11">
      <c r="A407" s="16" t="s">
        <v>430</v>
      </c>
      <c r="B407" s="10">
        <v>45694</v>
      </c>
      <c r="C407" s="10" t="str">
        <f>TEXT(Table2[[#This Row],[Date]],"mmm-yyyy")</f>
        <v>Feb-2025</v>
      </c>
      <c r="D407" s="7" t="s">
        <v>26</v>
      </c>
      <c r="E407" s="7" t="s">
        <v>27</v>
      </c>
      <c r="F407" s="7">
        <v>2</v>
      </c>
      <c r="G407" s="13">
        <v>9574</v>
      </c>
      <c r="H407" s="13">
        <v>19133</v>
      </c>
      <c r="I407" s="7" t="s">
        <v>19</v>
      </c>
      <c r="J407" s="14">
        <f t="shared" si="6"/>
        <v>19148</v>
      </c>
      <c r="K407" s="14">
        <f>Table2[[#This Row],[Revenue]]-Table2[[#This Row],[Expense]]</f>
        <v>15</v>
      </c>
    </row>
    <row r="408" spans="1:11">
      <c r="A408" s="16" t="s">
        <v>431</v>
      </c>
      <c r="B408" s="10">
        <v>45695</v>
      </c>
      <c r="C408" s="10" t="str">
        <f>TEXT(Table2[[#This Row],[Date]],"mmm-yyyy")</f>
        <v>Feb-2025</v>
      </c>
      <c r="D408" s="7" t="s">
        <v>26</v>
      </c>
      <c r="E408" s="7" t="s">
        <v>16</v>
      </c>
      <c r="F408" s="7">
        <v>7</v>
      </c>
      <c r="G408" s="13">
        <v>22920</v>
      </c>
      <c r="H408" s="13">
        <v>7530</v>
      </c>
      <c r="I408" s="7" t="s">
        <v>19</v>
      </c>
      <c r="J408" s="14">
        <f t="shared" si="6"/>
        <v>160440</v>
      </c>
      <c r="K408" s="14">
        <f>Table2[[#This Row],[Revenue]]-Table2[[#This Row],[Expense]]</f>
        <v>152910</v>
      </c>
    </row>
    <row r="409" spans="1:11">
      <c r="A409" s="16" t="s">
        <v>432</v>
      </c>
      <c r="B409" s="10">
        <v>45695</v>
      </c>
      <c r="C409" s="10" t="str">
        <f>TEXT(Table2[[#This Row],[Date]],"mmm-yyyy")</f>
        <v>Feb-2025</v>
      </c>
      <c r="D409" s="7" t="s">
        <v>2</v>
      </c>
      <c r="E409" s="7" t="s">
        <v>24</v>
      </c>
      <c r="F409" s="7">
        <v>6</v>
      </c>
      <c r="G409" s="13">
        <v>64436</v>
      </c>
      <c r="H409" s="13">
        <v>27819</v>
      </c>
      <c r="I409" s="7" t="s">
        <v>19</v>
      </c>
      <c r="J409" s="14">
        <f t="shared" si="6"/>
        <v>386616</v>
      </c>
      <c r="K409" s="14">
        <f>Table2[[#This Row],[Revenue]]-Table2[[#This Row],[Expense]]</f>
        <v>358797</v>
      </c>
    </row>
    <row r="410" spans="1:11">
      <c r="A410" s="16" t="s">
        <v>433</v>
      </c>
      <c r="B410" s="10">
        <v>45698</v>
      </c>
      <c r="C410" s="10" t="str">
        <f>TEXT(Table2[[#This Row],[Date]],"mmm-yyyy")</f>
        <v>Feb-2025</v>
      </c>
      <c r="D410" s="7" t="s">
        <v>2</v>
      </c>
      <c r="E410" s="7" t="s">
        <v>22</v>
      </c>
      <c r="F410" s="7">
        <v>2</v>
      </c>
      <c r="G410" s="13">
        <v>4858</v>
      </c>
      <c r="H410" s="13">
        <v>35865</v>
      </c>
      <c r="I410" s="7" t="s">
        <v>17</v>
      </c>
      <c r="J410" s="14">
        <f t="shared" si="6"/>
        <v>9716</v>
      </c>
      <c r="K410" s="14">
        <f>Table2[[#This Row],[Revenue]]-Table2[[#This Row],[Expense]]</f>
        <v>-26149</v>
      </c>
    </row>
    <row r="411" spans="1:11">
      <c r="A411" s="16" t="s">
        <v>434</v>
      </c>
      <c r="B411" s="10">
        <v>45698</v>
      </c>
      <c r="C411" s="10" t="str">
        <f>TEXT(Table2[[#This Row],[Date]],"mmm-yyyy")</f>
        <v>Feb-2025</v>
      </c>
      <c r="D411" s="7" t="s">
        <v>3</v>
      </c>
      <c r="E411" s="7" t="s">
        <v>27</v>
      </c>
      <c r="F411" s="7">
        <v>2</v>
      </c>
      <c r="G411" s="13">
        <v>59076</v>
      </c>
      <c r="H411" s="13">
        <v>8736</v>
      </c>
      <c r="I411" s="7" t="s">
        <v>19</v>
      </c>
      <c r="J411" s="14">
        <f t="shared" si="6"/>
        <v>118152</v>
      </c>
      <c r="K411" s="14">
        <f>Table2[[#This Row],[Revenue]]-Table2[[#This Row],[Expense]]</f>
        <v>109416</v>
      </c>
    </row>
    <row r="412" spans="1:11">
      <c r="A412" s="16" t="s">
        <v>435</v>
      </c>
      <c r="B412" s="10">
        <v>45699</v>
      </c>
      <c r="C412" s="10" t="str">
        <f>TEXT(Table2[[#This Row],[Date]],"mmm-yyyy")</f>
        <v>Feb-2025</v>
      </c>
      <c r="D412" s="7" t="s">
        <v>2</v>
      </c>
      <c r="E412" s="7" t="s">
        <v>32</v>
      </c>
      <c r="F412" s="7">
        <v>5</v>
      </c>
      <c r="G412" s="13">
        <v>33861</v>
      </c>
      <c r="H412" s="13">
        <v>2898</v>
      </c>
      <c r="I412" s="7" t="s">
        <v>17</v>
      </c>
      <c r="J412" s="14">
        <f t="shared" si="6"/>
        <v>169305</v>
      </c>
      <c r="K412" s="14">
        <f>Table2[[#This Row],[Revenue]]-Table2[[#This Row],[Expense]]</f>
        <v>166407</v>
      </c>
    </row>
    <row r="413" spans="1:11">
      <c r="A413" s="16" t="s">
        <v>436</v>
      </c>
      <c r="B413" s="10">
        <v>45701</v>
      </c>
      <c r="C413" s="10" t="str">
        <f>TEXT(Table2[[#This Row],[Date]],"mmm-yyyy")</f>
        <v>Feb-2025</v>
      </c>
      <c r="D413" s="7" t="s">
        <v>3</v>
      </c>
      <c r="E413" s="7" t="s">
        <v>24</v>
      </c>
      <c r="F413" s="7">
        <v>6</v>
      </c>
      <c r="G413" s="13">
        <v>43168</v>
      </c>
      <c r="H413" s="13">
        <v>1541</v>
      </c>
      <c r="I413" s="7" t="s">
        <v>30</v>
      </c>
      <c r="J413" s="14">
        <f t="shared" si="6"/>
        <v>259008</v>
      </c>
      <c r="K413" s="14">
        <f>Table2[[#This Row],[Revenue]]-Table2[[#This Row],[Expense]]</f>
        <v>257467</v>
      </c>
    </row>
    <row r="414" spans="1:11">
      <c r="A414" s="16" t="s">
        <v>437</v>
      </c>
      <c r="B414" s="10">
        <v>45702</v>
      </c>
      <c r="C414" s="10" t="str">
        <f>TEXT(Table2[[#This Row],[Date]],"mmm-yyyy")</f>
        <v>Feb-2025</v>
      </c>
      <c r="D414" s="7" t="s">
        <v>3</v>
      </c>
      <c r="E414" s="7" t="s">
        <v>27</v>
      </c>
      <c r="F414" s="7">
        <v>8</v>
      </c>
      <c r="G414" s="13">
        <v>10882</v>
      </c>
      <c r="H414" s="13">
        <v>40110</v>
      </c>
      <c r="I414" s="7" t="s">
        <v>19</v>
      </c>
      <c r="J414" s="14">
        <f t="shared" si="6"/>
        <v>87056</v>
      </c>
      <c r="K414" s="14">
        <f>Table2[[#This Row],[Revenue]]-Table2[[#This Row],[Expense]]</f>
        <v>46946</v>
      </c>
    </row>
    <row r="415" spans="1:11">
      <c r="A415" s="16" t="s">
        <v>438</v>
      </c>
      <c r="B415" s="10">
        <v>45705</v>
      </c>
      <c r="C415" s="10" t="str">
        <f>TEXT(Table2[[#This Row],[Date]],"mmm-yyyy")</f>
        <v>Feb-2025</v>
      </c>
      <c r="D415" s="7" t="s">
        <v>3</v>
      </c>
      <c r="E415" s="7" t="s">
        <v>16</v>
      </c>
      <c r="F415" s="7">
        <v>9</v>
      </c>
      <c r="G415" s="13">
        <v>73884</v>
      </c>
      <c r="H415" s="13">
        <v>17406</v>
      </c>
      <c r="I415" s="7" t="s">
        <v>36</v>
      </c>
      <c r="J415" s="14">
        <f t="shared" si="6"/>
        <v>664956</v>
      </c>
      <c r="K415" s="14">
        <f>Table2[[#This Row],[Revenue]]-Table2[[#This Row],[Expense]]</f>
        <v>647550</v>
      </c>
    </row>
    <row r="416" spans="1:11">
      <c r="A416" s="16" t="s">
        <v>439</v>
      </c>
      <c r="B416" s="10">
        <v>45706</v>
      </c>
      <c r="C416" s="10" t="str">
        <f>TEXT(Table2[[#This Row],[Date]],"mmm-yyyy")</f>
        <v>Feb-2025</v>
      </c>
      <c r="D416" s="7" t="s">
        <v>1</v>
      </c>
      <c r="E416" s="7" t="s">
        <v>27</v>
      </c>
      <c r="F416" s="7">
        <v>9</v>
      </c>
      <c r="G416" s="13">
        <v>31674</v>
      </c>
      <c r="H416" s="13">
        <v>14489</v>
      </c>
      <c r="I416" s="7" t="s">
        <v>30</v>
      </c>
      <c r="J416" s="14">
        <f t="shared" si="6"/>
        <v>285066</v>
      </c>
      <c r="K416" s="14">
        <f>Table2[[#This Row],[Revenue]]-Table2[[#This Row],[Expense]]</f>
        <v>270577</v>
      </c>
    </row>
    <row r="417" spans="1:11">
      <c r="A417" s="16" t="s">
        <v>440</v>
      </c>
      <c r="B417" s="10">
        <v>45707</v>
      </c>
      <c r="C417" s="10" t="str">
        <f>TEXT(Table2[[#This Row],[Date]],"mmm-yyyy")</f>
        <v>Feb-2025</v>
      </c>
      <c r="D417" s="7" t="s">
        <v>2</v>
      </c>
      <c r="E417" s="7" t="s">
        <v>22</v>
      </c>
      <c r="F417" s="7">
        <v>6</v>
      </c>
      <c r="G417" s="13">
        <v>40608</v>
      </c>
      <c r="H417" s="13">
        <v>4137</v>
      </c>
      <c r="I417" s="7" t="s">
        <v>30</v>
      </c>
      <c r="J417" s="14">
        <f t="shared" si="6"/>
        <v>243648</v>
      </c>
      <c r="K417" s="14">
        <f>Table2[[#This Row],[Revenue]]-Table2[[#This Row],[Expense]]</f>
        <v>239511</v>
      </c>
    </row>
    <row r="418" spans="1:11">
      <c r="A418" s="16" t="s">
        <v>441</v>
      </c>
      <c r="B418" s="10">
        <v>45707</v>
      </c>
      <c r="C418" s="10" t="str">
        <f>TEXT(Table2[[#This Row],[Date]],"mmm-yyyy")</f>
        <v>Feb-2025</v>
      </c>
      <c r="D418" s="7" t="s">
        <v>4</v>
      </c>
      <c r="E418" s="7" t="s">
        <v>32</v>
      </c>
      <c r="F418" s="7">
        <v>7</v>
      </c>
      <c r="G418" s="13">
        <v>78311</v>
      </c>
      <c r="H418" s="13">
        <v>39547</v>
      </c>
      <c r="I418" s="7" t="s">
        <v>19</v>
      </c>
      <c r="J418" s="14">
        <f t="shared" si="6"/>
        <v>548177</v>
      </c>
      <c r="K418" s="14">
        <f>Table2[[#This Row],[Revenue]]-Table2[[#This Row],[Expense]]</f>
        <v>508630</v>
      </c>
    </row>
    <row r="419" spans="1:11">
      <c r="A419" s="16" t="s">
        <v>442</v>
      </c>
      <c r="B419" s="10">
        <v>45708</v>
      </c>
      <c r="C419" s="10" t="str">
        <f>TEXT(Table2[[#This Row],[Date]],"mmm-yyyy")</f>
        <v>Feb-2025</v>
      </c>
      <c r="D419" s="7" t="s">
        <v>15</v>
      </c>
      <c r="E419" s="7" t="s">
        <v>27</v>
      </c>
      <c r="F419" s="7">
        <v>7</v>
      </c>
      <c r="G419" s="13">
        <v>34671</v>
      </c>
      <c r="H419" s="13">
        <v>17280</v>
      </c>
      <c r="I419" s="7" t="s">
        <v>36</v>
      </c>
      <c r="J419" s="14">
        <f t="shared" si="6"/>
        <v>242697</v>
      </c>
      <c r="K419" s="14">
        <f>Table2[[#This Row],[Revenue]]-Table2[[#This Row],[Expense]]</f>
        <v>225417</v>
      </c>
    </row>
    <row r="420" spans="1:11">
      <c r="A420" s="16" t="s">
        <v>443</v>
      </c>
      <c r="B420" s="10">
        <v>45709</v>
      </c>
      <c r="C420" s="10" t="str">
        <f>TEXT(Table2[[#This Row],[Date]],"mmm-yyyy")</f>
        <v>Feb-2025</v>
      </c>
      <c r="D420" s="7" t="s">
        <v>26</v>
      </c>
      <c r="E420" s="7" t="s">
        <v>24</v>
      </c>
      <c r="F420" s="7">
        <v>6</v>
      </c>
      <c r="G420" s="13">
        <v>58284</v>
      </c>
      <c r="H420" s="13">
        <v>42796</v>
      </c>
      <c r="I420" s="7" t="s">
        <v>19</v>
      </c>
      <c r="J420" s="14">
        <f t="shared" si="6"/>
        <v>349704</v>
      </c>
      <c r="K420" s="14">
        <f>Table2[[#This Row],[Revenue]]-Table2[[#This Row],[Expense]]</f>
        <v>306908</v>
      </c>
    </row>
    <row r="421" spans="1:11">
      <c r="A421" s="16" t="s">
        <v>444</v>
      </c>
      <c r="B421" s="10">
        <v>45710</v>
      </c>
      <c r="C421" s="10" t="str">
        <f>TEXT(Table2[[#This Row],[Date]],"mmm-yyyy")</f>
        <v>Feb-2025</v>
      </c>
      <c r="D421" s="7" t="s">
        <v>1</v>
      </c>
      <c r="E421" s="7" t="s">
        <v>22</v>
      </c>
      <c r="F421" s="7">
        <v>8</v>
      </c>
      <c r="G421" s="13">
        <v>17514</v>
      </c>
      <c r="H421" s="13">
        <v>13448</v>
      </c>
      <c r="I421" s="7" t="s">
        <v>30</v>
      </c>
      <c r="J421" s="14">
        <f t="shared" si="6"/>
        <v>140112</v>
      </c>
      <c r="K421" s="14">
        <f>Table2[[#This Row],[Revenue]]-Table2[[#This Row],[Expense]]</f>
        <v>126664</v>
      </c>
    </row>
    <row r="422" spans="1:11">
      <c r="A422" s="16" t="s">
        <v>445</v>
      </c>
      <c r="B422" s="10">
        <v>45711</v>
      </c>
      <c r="C422" s="10" t="str">
        <f>TEXT(Table2[[#This Row],[Date]],"mmm-yyyy")</f>
        <v>Feb-2025</v>
      </c>
      <c r="D422" s="7" t="s">
        <v>15</v>
      </c>
      <c r="E422" s="7" t="s">
        <v>16</v>
      </c>
      <c r="F422" s="7">
        <v>3</v>
      </c>
      <c r="G422" s="13">
        <v>37414</v>
      </c>
      <c r="H422" s="13">
        <v>2828</v>
      </c>
      <c r="I422" s="7" t="s">
        <v>36</v>
      </c>
      <c r="J422" s="14">
        <f t="shared" si="6"/>
        <v>112242</v>
      </c>
      <c r="K422" s="14">
        <f>Table2[[#This Row],[Revenue]]-Table2[[#This Row],[Expense]]</f>
        <v>109414</v>
      </c>
    </row>
    <row r="423" spans="1:11">
      <c r="A423" s="16" t="s">
        <v>446</v>
      </c>
      <c r="B423" s="10">
        <v>45711</v>
      </c>
      <c r="C423" s="10" t="str">
        <f>TEXT(Table2[[#This Row],[Date]],"mmm-yyyy")</f>
        <v>Feb-2025</v>
      </c>
      <c r="D423" s="7" t="s">
        <v>2</v>
      </c>
      <c r="E423" s="7" t="s">
        <v>27</v>
      </c>
      <c r="F423" s="7">
        <v>2</v>
      </c>
      <c r="G423" s="13">
        <v>28641</v>
      </c>
      <c r="H423" s="13">
        <v>31798</v>
      </c>
      <c r="I423" s="7" t="s">
        <v>36</v>
      </c>
      <c r="J423" s="14">
        <f t="shared" si="6"/>
        <v>57282</v>
      </c>
      <c r="K423" s="14">
        <f>Table2[[#This Row],[Revenue]]-Table2[[#This Row],[Expense]]</f>
        <v>25484</v>
      </c>
    </row>
    <row r="424" spans="1:11">
      <c r="A424" s="16" t="s">
        <v>447</v>
      </c>
      <c r="B424" s="10">
        <v>45711</v>
      </c>
      <c r="C424" s="10" t="str">
        <f>TEXT(Table2[[#This Row],[Date]],"mmm-yyyy")</f>
        <v>Feb-2025</v>
      </c>
      <c r="D424" s="7" t="s">
        <v>4</v>
      </c>
      <c r="E424" s="7" t="s">
        <v>16</v>
      </c>
      <c r="F424" s="7">
        <v>1</v>
      </c>
      <c r="G424" s="13">
        <v>26535</v>
      </c>
      <c r="H424" s="13">
        <v>24551</v>
      </c>
      <c r="I424" s="7" t="s">
        <v>17</v>
      </c>
      <c r="J424" s="14">
        <f t="shared" si="6"/>
        <v>26535</v>
      </c>
      <c r="K424" s="14">
        <f>Table2[[#This Row],[Revenue]]-Table2[[#This Row],[Expense]]</f>
        <v>1984</v>
      </c>
    </row>
    <row r="425" spans="1:11">
      <c r="A425" s="16" t="s">
        <v>448</v>
      </c>
      <c r="B425" s="10">
        <v>45713</v>
      </c>
      <c r="C425" s="10" t="str">
        <f>TEXT(Table2[[#This Row],[Date]],"mmm-yyyy")</f>
        <v>Feb-2025</v>
      </c>
      <c r="D425" s="7" t="s">
        <v>26</v>
      </c>
      <c r="E425" s="7" t="s">
        <v>24</v>
      </c>
      <c r="F425" s="7">
        <v>3</v>
      </c>
      <c r="G425" s="13">
        <v>31120</v>
      </c>
      <c r="H425" s="13">
        <v>34380</v>
      </c>
      <c r="I425" s="7" t="s">
        <v>17</v>
      </c>
      <c r="J425" s="14">
        <f t="shared" si="6"/>
        <v>93360</v>
      </c>
      <c r="K425" s="14">
        <f>Table2[[#This Row],[Revenue]]-Table2[[#This Row],[Expense]]</f>
        <v>58980</v>
      </c>
    </row>
    <row r="426" spans="1:11">
      <c r="A426" s="16" t="s">
        <v>449</v>
      </c>
      <c r="B426" s="10">
        <v>45715</v>
      </c>
      <c r="C426" s="10" t="str">
        <f>TEXT(Table2[[#This Row],[Date]],"mmm-yyyy")</f>
        <v>Feb-2025</v>
      </c>
      <c r="D426" s="7" t="s">
        <v>15</v>
      </c>
      <c r="E426" s="7" t="s">
        <v>22</v>
      </c>
      <c r="F426" s="7">
        <v>9</v>
      </c>
      <c r="G426" s="13">
        <v>42279</v>
      </c>
      <c r="H426" s="13">
        <v>23263</v>
      </c>
      <c r="I426" s="7" t="s">
        <v>19</v>
      </c>
      <c r="J426" s="14">
        <f t="shared" si="6"/>
        <v>380511</v>
      </c>
      <c r="K426" s="14">
        <f>Table2[[#This Row],[Revenue]]-Table2[[#This Row],[Expense]]</f>
        <v>357248</v>
      </c>
    </row>
    <row r="427" spans="1:11">
      <c r="A427" s="16" t="s">
        <v>450</v>
      </c>
      <c r="B427" s="10">
        <v>45719</v>
      </c>
      <c r="C427" s="10" t="str">
        <f>TEXT(Table2[[#This Row],[Date]],"mmm-yyyy")</f>
        <v>Mar-2025</v>
      </c>
      <c r="D427" s="7" t="s">
        <v>15</v>
      </c>
      <c r="E427" s="7" t="s">
        <v>27</v>
      </c>
      <c r="F427" s="7">
        <v>9</v>
      </c>
      <c r="G427" s="13">
        <v>64606</v>
      </c>
      <c r="H427" s="13">
        <v>39019</v>
      </c>
      <c r="I427" s="7" t="s">
        <v>30</v>
      </c>
      <c r="J427" s="14">
        <f t="shared" si="6"/>
        <v>581454</v>
      </c>
      <c r="K427" s="14">
        <f>Table2[[#This Row],[Revenue]]-Table2[[#This Row],[Expense]]</f>
        <v>542435</v>
      </c>
    </row>
    <row r="428" spans="1:11">
      <c r="A428" s="16" t="s">
        <v>451</v>
      </c>
      <c r="B428" s="10">
        <v>45722</v>
      </c>
      <c r="C428" s="10" t="str">
        <f>TEXT(Table2[[#This Row],[Date]],"mmm-yyyy")</f>
        <v>Mar-2025</v>
      </c>
      <c r="D428" s="7" t="s">
        <v>2</v>
      </c>
      <c r="E428" s="7" t="s">
        <v>24</v>
      </c>
      <c r="F428" s="7">
        <v>4</v>
      </c>
      <c r="G428" s="13">
        <v>59682</v>
      </c>
      <c r="H428" s="13">
        <v>19313</v>
      </c>
      <c r="I428" s="7" t="s">
        <v>30</v>
      </c>
      <c r="J428" s="14">
        <f t="shared" si="6"/>
        <v>238728</v>
      </c>
      <c r="K428" s="14">
        <f>Table2[[#This Row],[Revenue]]-Table2[[#This Row],[Expense]]</f>
        <v>219415</v>
      </c>
    </row>
    <row r="429" spans="1:11">
      <c r="A429" s="16" t="s">
        <v>452</v>
      </c>
      <c r="B429" s="10">
        <v>45722</v>
      </c>
      <c r="C429" s="10" t="str">
        <f>TEXT(Table2[[#This Row],[Date]],"mmm-yyyy")</f>
        <v>Mar-2025</v>
      </c>
      <c r="D429" s="7" t="s">
        <v>4</v>
      </c>
      <c r="E429" s="7" t="s">
        <v>24</v>
      </c>
      <c r="F429" s="7">
        <v>1</v>
      </c>
      <c r="G429" s="13">
        <v>31507</v>
      </c>
      <c r="H429" s="13">
        <v>26122</v>
      </c>
      <c r="I429" s="7" t="s">
        <v>17</v>
      </c>
      <c r="J429" s="14">
        <f t="shared" si="6"/>
        <v>31507</v>
      </c>
      <c r="K429" s="14">
        <f>Table2[[#This Row],[Revenue]]-Table2[[#This Row],[Expense]]</f>
        <v>5385</v>
      </c>
    </row>
    <row r="430" spans="1:11">
      <c r="A430" s="16" t="s">
        <v>453</v>
      </c>
      <c r="B430" s="10">
        <v>45722</v>
      </c>
      <c r="C430" s="10" t="str">
        <f>TEXT(Table2[[#This Row],[Date]],"mmm-yyyy")</f>
        <v>Mar-2025</v>
      </c>
      <c r="D430" s="7" t="s">
        <v>3</v>
      </c>
      <c r="E430" s="7" t="s">
        <v>22</v>
      </c>
      <c r="F430" s="7">
        <v>6</v>
      </c>
      <c r="G430" s="13">
        <v>56033</v>
      </c>
      <c r="H430" s="13">
        <v>24952</v>
      </c>
      <c r="I430" s="7" t="s">
        <v>17</v>
      </c>
      <c r="J430" s="14">
        <f t="shared" si="6"/>
        <v>336198</v>
      </c>
      <c r="K430" s="14">
        <f>Table2[[#This Row],[Revenue]]-Table2[[#This Row],[Expense]]</f>
        <v>311246</v>
      </c>
    </row>
    <row r="431" spans="1:11">
      <c r="A431" s="16" t="s">
        <v>454</v>
      </c>
      <c r="B431" s="10">
        <v>45725</v>
      </c>
      <c r="C431" s="10" t="str">
        <f>TEXT(Table2[[#This Row],[Date]],"mmm-yyyy")</f>
        <v>Mar-2025</v>
      </c>
      <c r="D431" s="7" t="s">
        <v>4</v>
      </c>
      <c r="E431" s="7" t="s">
        <v>22</v>
      </c>
      <c r="F431" s="7">
        <v>6</v>
      </c>
      <c r="G431" s="13">
        <v>27215</v>
      </c>
      <c r="H431" s="13">
        <v>27390</v>
      </c>
      <c r="I431" s="7" t="s">
        <v>17</v>
      </c>
      <c r="J431" s="14">
        <f t="shared" si="6"/>
        <v>163290</v>
      </c>
      <c r="K431" s="14">
        <f>Table2[[#This Row],[Revenue]]-Table2[[#This Row],[Expense]]</f>
        <v>135900</v>
      </c>
    </row>
    <row r="432" spans="1:11">
      <c r="A432" s="16" t="s">
        <v>455</v>
      </c>
      <c r="B432" s="10">
        <v>45727</v>
      </c>
      <c r="C432" s="10" t="str">
        <f>TEXT(Table2[[#This Row],[Date]],"mmm-yyyy")</f>
        <v>Mar-2025</v>
      </c>
      <c r="D432" s="7" t="s">
        <v>26</v>
      </c>
      <c r="E432" s="7" t="s">
        <v>27</v>
      </c>
      <c r="F432" s="7">
        <v>2</v>
      </c>
      <c r="G432" s="13">
        <v>16077</v>
      </c>
      <c r="H432" s="13">
        <v>44541</v>
      </c>
      <c r="I432" s="7" t="s">
        <v>19</v>
      </c>
      <c r="J432" s="14">
        <f t="shared" si="6"/>
        <v>32154</v>
      </c>
      <c r="K432" s="14">
        <f>Table2[[#This Row],[Revenue]]-Table2[[#This Row],[Expense]]</f>
        <v>-12387</v>
      </c>
    </row>
    <row r="433" spans="1:11">
      <c r="A433" s="16" t="s">
        <v>456</v>
      </c>
      <c r="B433" s="10">
        <v>45729</v>
      </c>
      <c r="C433" s="10" t="str">
        <f>TEXT(Table2[[#This Row],[Date]],"mmm-yyyy")</f>
        <v>Mar-2025</v>
      </c>
      <c r="D433" s="7" t="s">
        <v>15</v>
      </c>
      <c r="E433" s="7" t="s">
        <v>22</v>
      </c>
      <c r="F433" s="7">
        <v>7</v>
      </c>
      <c r="G433" s="13">
        <v>5939</v>
      </c>
      <c r="H433" s="13">
        <v>17087</v>
      </c>
      <c r="I433" s="7" t="s">
        <v>17</v>
      </c>
      <c r="J433" s="14">
        <f t="shared" si="6"/>
        <v>41573</v>
      </c>
      <c r="K433" s="14">
        <f>Table2[[#This Row],[Revenue]]-Table2[[#This Row],[Expense]]</f>
        <v>24486</v>
      </c>
    </row>
    <row r="434" spans="1:11">
      <c r="A434" s="16" t="s">
        <v>457</v>
      </c>
      <c r="B434" s="10">
        <v>45730</v>
      </c>
      <c r="C434" s="10" t="str">
        <f>TEXT(Table2[[#This Row],[Date]],"mmm-yyyy")</f>
        <v>Mar-2025</v>
      </c>
      <c r="D434" s="7" t="s">
        <v>1</v>
      </c>
      <c r="E434" s="7" t="s">
        <v>27</v>
      </c>
      <c r="F434" s="7">
        <v>6</v>
      </c>
      <c r="G434" s="13">
        <v>77952</v>
      </c>
      <c r="H434" s="13">
        <v>31575</v>
      </c>
      <c r="I434" s="7" t="s">
        <v>19</v>
      </c>
      <c r="J434" s="14">
        <f t="shared" si="6"/>
        <v>467712</v>
      </c>
      <c r="K434" s="14">
        <f>Table2[[#This Row],[Revenue]]-Table2[[#This Row],[Expense]]</f>
        <v>436137</v>
      </c>
    </row>
    <row r="435" spans="1:11">
      <c r="A435" s="16" t="s">
        <v>458</v>
      </c>
      <c r="B435" s="10">
        <v>45731</v>
      </c>
      <c r="C435" s="10" t="str">
        <f>TEXT(Table2[[#This Row],[Date]],"mmm-yyyy")</f>
        <v>Mar-2025</v>
      </c>
      <c r="D435" s="7" t="s">
        <v>2</v>
      </c>
      <c r="E435" s="7" t="s">
        <v>16</v>
      </c>
      <c r="F435" s="7">
        <v>4</v>
      </c>
      <c r="G435" s="13">
        <v>64240</v>
      </c>
      <c r="H435" s="13">
        <v>3336</v>
      </c>
      <c r="I435" s="7" t="s">
        <v>17</v>
      </c>
      <c r="J435" s="14">
        <f t="shared" si="6"/>
        <v>256960</v>
      </c>
      <c r="K435" s="14">
        <f>Table2[[#This Row],[Revenue]]-Table2[[#This Row],[Expense]]</f>
        <v>253624</v>
      </c>
    </row>
    <row r="436" spans="1:11">
      <c r="A436" s="16" t="s">
        <v>459</v>
      </c>
      <c r="B436" s="10">
        <v>45732</v>
      </c>
      <c r="C436" s="10" t="str">
        <f>TEXT(Table2[[#This Row],[Date]],"mmm-yyyy")</f>
        <v>Mar-2025</v>
      </c>
      <c r="D436" s="7" t="s">
        <v>15</v>
      </c>
      <c r="E436" s="7" t="s">
        <v>24</v>
      </c>
      <c r="F436" s="7">
        <v>6</v>
      </c>
      <c r="G436" s="13">
        <v>11254</v>
      </c>
      <c r="H436" s="13">
        <v>18015</v>
      </c>
      <c r="I436" s="7" t="s">
        <v>30</v>
      </c>
      <c r="J436" s="14">
        <f t="shared" si="6"/>
        <v>67524</v>
      </c>
      <c r="K436" s="14">
        <f>Table2[[#This Row],[Revenue]]-Table2[[#This Row],[Expense]]</f>
        <v>49509</v>
      </c>
    </row>
    <row r="437" spans="1:11">
      <c r="A437" s="16" t="s">
        <v>460</v>
      </c>
      <c r="B437" s="10">
        <v>45732</v>
      </c>
      <c r="C437" s="10" t="str">
        <f>TEXT(Table2[[#This Row],[Date]],"mmm-yyyy")</f>
        <v>Mar-2025</v>
      </c>
      <c r="D437" s="7" t="s">
        <v>26</v>
      </c>
      <c r="E437" s="7" t="s">
        <v>24</v>
      </c>
      <c r="F437" s="7">
        <v>4</v>
      </c>
      <c r="G437" s="13">
        <v>71729</v>
      </c>
      <c r="H437" s="13">
        <v>22253</v>
      </c>
      <c r="I437" s="7" t="s">
        <v>19</v>
      </c>
      <c r="J437" s="14">
        <f t="shared" si="6"/>
        <v>286916</v>
      </c>
      <c r="K437" s="14">
        <f>Table2[[#This Row],[Revenue]]-Table2[[#This Row],[Expense]]</f>
        <v>264663</v>
      </c>
    </row>
    <row r="438" spans="1:11">
      <c r="A438" s="16" t="s">
        <v>461</v>
      </c>
      <c r="B438" s="10">
        <v>45733</v>
      </c>
      <c r="C438" s="10" t="str">
        <f>TEXT(Table2[[#This Row],[Date]],"mmm-yyyy")</f>
        <v>Mar-2025</v>
      </c>
      <c r="D438" s="7" t="s">
        <v>4</v>
      </c>
      <c r="E438" s="7" t="s">
        <v>27</v>
      </c>
      <c r="F438" s="7">
        <v>5</v>
      </c>
      <c r="G438" s="13">
        <v>7221</v>
      </c>
      <c r="H438" s="13">
        <v>7304</v>
      </c>
      <c r="I438" s="7" t="s">
        <v>19</v>
      </c>
      <c r="J438" s="14">
        <f t="shared" si="6"/>
        <v>36105</v>
      </c>
      <c r="K438" s="14">
        <f>Table2[[#This Row],[Revenue]]-Table2[[#This Row],[Expense]]</f>
        <v>28801</v>
      </c>
    </row>
    <row r="439" spans="1:11">
      <c r="A439" s="16" t="s">
        <v>462</v>
      </c>
      <c r="B439" s="10">
        <v>45734</v>
      </c>
      <c r="C439" s="10" t="str">
        <f>TEXT(Table2[[#This Row],[Date]],"mmm-yyyy")</f>
        <v>Mar-2025</v>
      </c>
      <c r="D439" s="7" t="s">
        <v>3</v>
      </c>
      <c r="E439" s="7" t="s">
        <v>24</v>
      </c>
      <c r="F439" s="7">
        <v>7</v>
      </c>
      <c r="G439" s="13">
        <v>50831</v>
      </c>
      <c r="H439" s="13">
        <v>31932</v>
      </c>
      <c r="I439" s="7" t="s">
        <v>30</v>
      </c>
      <c r="J439" s="14">
        <f t="shared" si="6"/>
        <v>355817</v>
      </c>
      <c r="K439" s="14">
        <f>Table2[[#This Row],[Revenue]]-Table2[[#This Row],[Expense]]</f>
        <v>323885</v>
      </c>
    </row>
    <row r="440" spans="1:11">
      <c r="A440" s="16" t="s">
        <v>463</v>
      </c>
      <c r="B440" s="10">
        <v>45734</v>
      </c>
      <c r="C440" s="10" t="str">
        <f>TEXT(Table2[[#This Row],[Date]],"mmm-yyyy")</f>
        <v>Mar-2025</v>
      </c>
      <c r="D440" s="7" t="s">
        <v>15</v>
      </c>
      <c r="E440" s="7" t="s">
        <v>24</v>
      </c>
      <c r="F440" s="7">
        <v>1</v>
      </c>
      <c r="G440" s="13">
        <v>17031</v>
      </c>
      <c r="H440" s="13">
        <v>45517</v>
      </c>
      <c r="I440" s="7" t="s">
        <v>30</v>
      </c>
      <c r="J440" s="14">
        <f t="shared" si="6"/>
        <v>17031</v>
      </c>
      <c r="K440" s="14">
        <f>Table2[[#This Row],[Revenue]]-Table2[[#This Row],[Expense]]</f>
        <v>-28486</v>
      </c>
    </row>
    <row r="441" spans="1:11">
      <c r="A441" s="16" t="s">
        <v>464</v>
      </c>
      <c r="B441" s="10">
        <v>45735</v>
      </c>
      <c r="C441" s="10" t="str">
        <f>TEXT(Table2[[#This Row],[Date]],"mmm-yyyy")</f>
        <v>Mar-2025</v>
      </c>
      <c r="D441" s="7" t="s">
        <v>4</v>
      </c>
      <c r="E441" s="7" t="s">
        <v>16</v>
      </c>
      <c r="F441" s="7">
        <v>7</v>
      </c>
      <c r="G441" s="13">
        <v>40382</v>
      </c>
      <c r="H441" s="13">
        <v>10496</v>
      </c>
      <c r="I441" s="7" t="s">
        <v>19</v>
      </c>
      <c r="J441" s="14">
        <f t="shared" si="6"/>
        <v>282674</v>
      </c>
      <c r="K441" s="14">
        <f>Table2[[#This Row],[Revenue]]-Table2[[#This Row],[Expense]]</f>
        <v>272178</v>
      </c>
    </row>
    <row r="442" spans="1:11">
      <c r="A442" s="16" t="s">
        <v>465</v>
      </c>
      <c r="B442" s="10">
        <v>45735</v>
      </c>
      <c r="C442" s="10" t="str">
        <f>TEXT(Table2[[#This Row],[Date]],"mmm-yyyy")</f>
        <v>Mar-2025</v>
      </c>
      <c r="D442" s="7" t="s">
        <v>2</v>
      </c>
      <c r="E442" s="7" t="s">
        <v>32</v>
      </c>
      <c r="F442" s="7">
        <v>8</v>
      </c>
      <c r="G442" s="13">
        <v>25096</v>
      </c>
      <c r="H442" s="13">
        <v>35947</v>
      </c>
      <c r="I442" s="7" t="s">
        <v>19</v>
      </c>
      <c r="J442" s="14">
        <f t="shared" si="6"/>
        <v>200768</v>
      </c>
      <c r="K442" s="14">
        <f>Table2[[#This Row],[Revenue]]-Table2[[#This Row],[Expense]]</f>
        <v>164821</v>
      </c>
    </row>
    <row r="443" spans="1:11">
      <c r="A443" s="16" t="s">
        <v>466</v>
      </c>
      <c r="B443" s="10">
        <v>45736</v>
      </c>
      <c r="C443" s="10" t="str">
        <f>TEXT(Table2[[#This Row],[Date]],"mmm-yyyy")</f>
        <v>Mar-2025</v>
      </c>
      <c r="D443" s="7" t="s">
        <v>4</v>
      </c>
      <c r="E443" s="7" t="s">
        <v>16</v>
      </c>
      <c r="F443" s="7">
        <v>1</v>
      </c>
      <c r="G443" s="13">
        <v>51899</v>
      </c>
      <c r="H443" s="13">
        <v>2125</v>
      </c>
      <c r="I443" s="7" t="s">
        <v>36</v>
      </c>
      <c r="J443" s="14">
        <f t="shared" si="6"/>
        <v>51899</v>
      </c>
      <c r="K443" s="14">
        <f>Table2[[#This Row],[Revenue]]-Table2[[#This Row],[Expense]]</f>
        <v>49774</v>
      </c>
    </row>
    <row r="444" spans="1:11">
      <c r="A444" s="16" t="s">
        <v>467</v>
      </c>
      <c r="B444" s="10">
        <v>45737</v>
      </c>
      <c r="C444" s="10" t="str">
        <f>TEXT(Table2[[#This Row],[Date]],"mmm-yyyy")</f>
        <v>Mar-2025</v>
      </c>
      <c r="D444" s="7" t="s">
        <v>1</v>
      </c>
      <c r="E444" s="7" t="s">
        <v>22</v>
      </c>
      <c r="F444" s="7">
        <v>8</v>
      </c>
      <c r="G444" s="13">
        <v>31824</v>
      </c>
      <c r="H444" s="13">
        <v>37735</v>
      </c>
      <c r="I444" s="7" t="s">
        <v>17</v>
      </c>
      <c r="J444" s="14">
        <f t="shared" si="6"/>
        <v>254592</v>
      </c>
      <c r="K444" s="14">
        <f>Table2[[#This Row],[Revenue]]-Table2[[#This Row],[Expense]]</f>
        <v>216857</v>
      </c>
    </row>
    <row r="445" spans="1:11">
      <c r="A445" s="16" t="s">
        <v>468</v>
      </c>
      <c r="B445" s="10">
        <v>45737</v>
      </c>
      <c r="C445" s="10" t="str">
        <f>TEXT(Table2[[#This Row],[Date]],"mmm-yyyy")</f>
        <v>Mar-2025</v>
      </c>
      <c r="D445" s="7" t="s">
        <v>15</v>
      </c>
      <c r="E445" s="7" t="s">
        <v>22</v>
      </c>
      <c r="F445" s="7">
        <v>2</v>
      </c>
      <c r="G445" s="13">
        <v>22943</v>
      </c>
      <c r="H445" s="13">
        <v>15566</v>
      </c>
      <c r="I445" s="7" t="s">
        <v>30</v>
      </c>
      <c r="J445" s="14">
        <f t="shared" si="6"/>
        <v>45886</v>
      </c>
      <c r="K445" s="14">
        <f>Table2[[#This Row],[Revenue]]-Table2[[#This Row],[Expense]]</f>
        <v>30320</v>
      </c>
    </row>
    <row r="446" spans="1:11">
      <c r="A446" s="16" t="s">
        <v>469</v>
      </c>
      <c r="B446" s="10">
        <v>45737</v>
      </c>
      <c r="C446" s="10" t="str">
        <f>TEXT(Table2[[#This Row],[Date]],"mmm-yyyy")</f>
        <v>Mar-2025</v>
      </c>
      <c r="D446" s="7" t="s">
        <v>3</v>
      </c>
      <c r="E446" s="7" t="s">
        <v>32</v>
      </c>
      <c r="F446" s="7">
        <v>7</v>
      </c>
      <c r="G446" s="13">
        <v>12789</v>
      </c>
      <c r="H446" s="13">
        <v>17087</v>
      </c>
      <c r="I446" s="7" t="s">
        <v>17</v>
      </c>
      <c r="J446" s="14">
        <f t="shared" si="6"/>
        <v>89523</v>
      </c>
      <c r="K446" s="14">
        <f>Table2[[#This Row],[Revenue]]-Table2[[#This Row],[Expense]]</f>
        <v>72436</v>
      </c>
    </row>
    <row r="447" spans="1:11">
      <c r="A447" s="16" t="s">
        <v>470</v>
      </c>
      <c r="B447" s="10">
        <v>45737</v>
      </c>
      <c r="C447" s="10" t="str">
        <f>TEXT(Table2[[#This Row],[Date]],"mmm-yyyy")</f>
        <v>Mar-2025</v>
      </c>
      <c r="D447" s="7" t="s">
        <v>1</v>
      </c>
      <c r="E447" s="7" t="s">
        <v>24</v>
      </c>
      <c r="F447" s="7">
        <v>4</v>
      </c>
      <c r="G447" s="13">
        <v>13895</v>
      </c>
      <c r="H447" s="13">
        <v>31508</v>
      </c>
      <c r="I447" s="7" t="s">
        <v>19</v>
      </c>
      <c r="J447" s="14">
        <f t="shared" si="6"/>
        <v>55580</v>
      </c>
      <c r="K447" s="14">
        <f>Table2[[#This Row],[Revenue]]-Table2[[#This Row],[Expense]]</f>
        <v>24072</v>
      </c>
    </row>
    <row r="448" spans="1:11">
      <c r="A448" s="16" t="s">
        <v>471</v>
      </c>
      <c r="B448" s="10">
        <v>45737</v>
      </c>
      <c r="C448" s="10" t="str">
        <f>TEXT(Table2[[#This Row],[Date]],"mmm-yyyy")</f>
        <v>Mar-2025</v>
      </c>
      <c r="D448" s="7" t="s">
        <v>26</v>
      </c>
      <c r="E448" s="7" t="s">
        <v>32</v>
      </c>
      <c r="F448" s="7">
        <v>9</v>
      </c>
      <c r="G448" s="13">
        <v>31182</v>
      </c>
      <c r="H448" s="13">
        <v>31682</v>
      </c>
      <c r="I448" s="7" t="s">
        <v>19</v>
      </c>
      <c r="J448" s="14">
        <f t="shared" si="6"/>
        <v>280638</v>
      </c>
      <c r="K448" s="14">
        <f>Table2[[#This Row],[Revenue]]-Table2[[#This Row],[Expense]]</f>
        <v>248956</v>
      </c>
    </row>
    <row r="449" spans="1:11">
      <c r="A449" s="16" t="s">
        <v>472</v>
      </c>
      <c r="B449" s="10">
        <v>45739</v>
      </c>
      <c r="C449" s="10" t="str">
        <f>TEXT(Table2[[#This Row],[Date]],"mmm-yyyy")</f>
        <v>Mar-2025</v>
      </c>
      <c r="D449" s="7" t="s">
        <v>26</v>
      </c>
      <c r="E449" s="7" t="s">
        <v>24</v>
      </c>
      <c r="F449" s="7">
        <v>6</v>
      </c>
      <c r="G449" s="13">
        <v>52661</v>
      </c>
      <c r="H449" s="13">
        <v>26817</v>
      </c>
      <c r="I449" s="7" t="s">
        <v>19</v>
      </c>
      <c r="J449" s="14">
        <f t="shared" si="6"/>
        <v>315966</v>
      </c>
      <c r="K449" s="14">
        <f>Table2[[#This Row],[Revenue]]-Table2[[#This Row],[Expense]]</f>
        <v>289149</v>
      </c>
    </row>
    <row r="450" spans="1:11">
      <c r="A450" s="16" t="s">
        <v>473</v>
      </c>
      <c r="B450" s="10">
        <v>45740</v>
      </c>
      <c r="C450" s="10" t="str">
        <f>TEXT(Table2[[#This Row],[Date]],"mmm-yyyy")</f>
        <v>Mar-2025</v>
      </c>
      <c r="D450" s="7" t="s">
        <v>2</v>
      </c>
      <c r="E450" s="7" t="s">
        <v>24</v>
      </c>
      <c r="F450" s="7">
        <v>8</v>
      </c>
      <c r="G450" s="13">
        <v>18125</v>
      </c>
      <c r="H450" s="13">
        <v>19994</v>
      </c>
      <c r="I450" s="7" t="s">
        <v>36</v>
      </c>
      <c r="J450" s="14">
        <f t="shared" ref="J450:J501" si="7">G450*F450</f>
        <v>145000</v>
      </c>
      <c r="K450" s="14">
        <f>Table2[[#This Row],[Revenue]]-Table2[[#This Row],[Expense]]</f>
        <v>125006</v>
      </c>
    </row>
    <row r="451" spans="1:11">
      <c r="A451" s="16" t="s">
        <v>474</v>
      </c>
      <c r="B451" s="10">
        <v>45742</v>
      </c>
      <c r="C451" s="10" t="str">
        <f>TEXT(Table2[[#This Row],[Date]],"mmm-yyyy")</f>
        <v>Mar-2025</v>
      </c>
      <c r="D451" s="7" t="s">
        <v>2</v>
      </c>
      <c r="E451" s="7" t="s">
        <v>24</v>
      </c>
      <c r="F451" s="7">
        <v>1</v>
      </c>
      <c r="G451" s="13">
        <v>23791</v>
      </c>
      <c r="H451" s="13">
        <v>1781</v>
      </c>
      <c r="I451" s="7" t="s">
        <v>30</v>
      </c>
      <c r="J451" s="14">
        <f t="shared" si="7"/>
        <v>23791</v>
      </c>
      <c r="K451" s="14">
        <f>Table2[[#This Row],[Revenue]]-Table2[[#This Row],[Expense]]</f>
        <v>22010</v>
      </c>
    </row>
    <row r="452" spans="1:11">
      <c r="A452" s="16" t="s">
        <v>475</v>
      </c>
      <c r="B452" s="10">
        <v>45744</v>
      </c>
      <c r="C452" s="10" t="str">
        <f>TEXT(Table2[[#This Row],[Date]],"mmm-yyyy")</f>
        <v>Mar-2025</v>
      </c>
      <c r="D452" s="7" t="s">
        <v>15</v>
      </c>
      <c r="E452" s="7" t="s">
        <v>32</v>
      </c>
      <c r="F452" s="7">
        <v>3</v>
      </c>
      <c r="G452" s="13">
        <v>16552</v>
      </c>
      <c r="H452" s="13">
        <v>38991</v>
      </c>
      <c r="I452" s="7" t="s">
        <v>17</v>
      </c>
      <c r="J452" s="14">
        <f t="shared" si="7"/>
        <v>49656</v>
      </c>
      <c r="K452" s="14">
        <f>Table2[[#This Row],[Revenue]]-Table2[[#This Row],[Expense]]</f>
        <v>10665</v>
      </c>
    </row>
    <row r="453" spans="1:11">
      <c r="A453" s="16" t="s">
        <v>476</v>
      </c>
      <c r="B453" s="10">
        <v>45744</v>
      </c>
      <c r="C453" s="10" t="str">
        <f>TEXT(Table2[[#This Row],[Date]],"mmm-yyyy")</f>
        <v>Mar-2025</v>
      </c>
      <c r="D453" s="7" t="s">
        <v>1</v>
      </c>
      <c r="E453" s="7" t="s">
        <v>24</v>
      </c>
      <c r="F453" s="7">
        <v>9</v>
      </c>
      <c r="G453" s="13">
        <v>51479</v>
      </c>
      <c r="H453" s="13">
        <v>31112</v>
      </c>
      <c r="I453" s="7" t="s">
        <v>36</v>
      </c>
      <c r="J453" s="14">
        <f t="shared" si="7"/>
        <v>463311</v>
      </c>
      <c r="K453" s="14">
        <f>Table2[[#This Row],[Revenue]]-Table2[[#This Row],[Expense]]</f>
        <v>432199</v>
      </c>
    </row>
    <row r="454" spans="1:11">
      <c r="A454" s="16" t="s">
        <v>477</v>
      </c>
      <c r="B454" s="10">
        <v>45746</v>
      </c>
      <c r="C454" s="10" t="str">
        <f>TEXT(Table2[[#This Row],[Date]],"mmm-yyyy")</f>
        <v>Mar-2025</v>
      </c>
      <c r="D454" s="7" t="s">
        <v>3</v>
      </c>
      <c r="E454" s="7" t="s">
        <v>22</v>
      </c>
      <c r="F454" s="7">
        <v>9</v>
      </c>
      <c r="G454" s="13">
        <v>33674</v>
      </c>
      <c r="H454" s="13">
        <v>10596</v>
      </c>
      <c r="I454" s="7" t="s">
        <v>36</v>
      </c>
      <c r="J454" s="14">
        <f t="shared" si="7"/>
        <v>303066</v>
      </c>
      <c r="K454" s="14">
        <f>Table2[[#This Row],[Revenue]]-Table2[[#This Row],[Expense]]</f>
        <v>292470</v>
      </c>
    </row>
    <row r="455" spans="1:11">
      <c r="A455" s="16" t="s">
        <v>478</v>
      </c>
      <c r="B455" s="10">
        <v>45747</v>
      </c>
      <c r="C455" s="10" t="str">
        <f>TEXT(Table2[[#This Row],[Date]],"mmm-yyyy")</f>
        <v>Mar-2025</v>
      </c>
      <c r="D455" s="7" t="s">
        <v>15</v>
      </c>
      <c r="E455" s="7" t="s">
        <v>32</v>
      </c>
      <c r="F455" s="7">
        <v>4</v>
      </c>
      <c r="G455" s="13">
        <v>30234</v>
      </c>
      <c r="H455" s="13">
        <v>37727</v>
      </c>
      <c r="I455" s="7" t="s">
        <v>17</v>
      </c>
      <c r="J455" s="14">
        <f t="shared" si="7"/>
        <v>120936</v>
      </c>
      <c r="K455" s="14">
        <f>Table2[[#This Row],[Revenue]]-Table2[[#This Row],[Expense]]</f>
        <v>83209</v>
      </c>
    </row>
    <row r="456" spans="1:11">
      <c r="A456" s="16" t="s">
        <v>479</v>
      </c>
      <c r="B456" s="10">
        <v>45747</v>
      </c>
      <c r="C456" s="10" t="str">
        <f>TEXT(Table2[[#This Row],[Date]],"mmm-yyyy")</f>
        <v>Mar-2025</v>
      </c>
      <c r="D456" s="7" t="s">
        <v>4</v>
      </c>
      <c r="E456" s="7" t="s">
        <v>22</v>
      </c>
      <c r="F456" s="7">
        <v>1</v>
      </c>
      <c r="G456" s="13">
        <v>65950</v>
      </c>
      <c r="H456" s="13">
        <v>42903</v>
      </c>
      <c r="I456" s="7" t="s">
        <v>30</v>
      </c>
      <c r="J456" s="14">
        <f t="shared" si="7"/>
        <v>65950</v>
      </c>
      <c r="K456" s="14">
        <f>Table2[[#This Row],[Revenue]]-Table2[[#This Row],[Expense]]</f>
        <v>23047</v>
      </c>
    </row>
    <row r="457" spans="1:11">
      <c r="A457" s="16" t="s">
        <v>480</v>
      </c>
      <c r="B457" s="10">
        <v>45747</v>
      </c>
      <c r="C457" s="10" t="str">
        <f>TEXT(Table2[[#This Row],[Date]],"mmm-yyyy")</f>
        <v>Mar-2025</v>
      </c>
      <c r="D457" s="7" t="s">
        <v>3</v>
      </c>
      <c r="E457" s="7" t="s">
        <v>22</v>
      </c>
      <c r="F457" s="7">
        <v>2</v>
      </c>
      <c r="G457" s="13">
        <v>28880</v>
      </c>
      <c r="H457" s="13">
        <v>20584</v>
      </c>
      <c r="I457" s="7" t="s">
        <v>30</v>
      </c>
      <c r="J457" s="14">
        <f t="shared" si="7"/>
        <v>57760</v>
      </c>
      <c r="K457" s="14">
        <f>Table2[[#This Row],[Revenue]]-Table2[[#This Row],[Expense]]</f>
        <v>37176</v>
      </c>
    </row>
    <row r="458" spans="1:11">
      <c r="A458" s="16" t="s">
        <v>481</v>
      </c>
      <c r="B458" s="10">
        <v>45750</v>
      </c>
      <c r="C458" s="10" t="str">
        <f>TEXT(Table2[[#This Row],[Date]],"mmm-yyyy")</f>
        <v>Apr-2025</v>
      </c>
      <c r="D458" s="7" t="s">
        <v>26</v>
      </c>
      <c r="E458" s="7" t="s">
        <v>22</v>
      </c>
      <c r="F458" s="7">
        <v>8</v>
      </c>
      <c r="G458" s="13">
        <v>79634</v>
      </c>
      <c r="H458" s="13">
        <v>47486</v>
      </c>
      <c r="I458" s="7" t="s">
        <v>17</v>
      </c>
      <c r="J458" s="14">
        <f t="shared" si="7"/>
        <v>637072</v>
      </c>
      <c r="K458" s="14">
        <f>Table2[[#This Row],[Revenue]]-Table2[[#This Row],[Expense]]</f>
        <v>589586</v>
      </c>
    </row>
    <row r="459" spans="1:11">
      <c r="A459" s="16" t="s">
        <v>482</v>
      </c>
      <c r="B459" s="10">
        <v>45751</v>
      </c>
      <c r="C459" s="10" t="str">
        <f>TEXT(Table2[[#This Row],[Date]],"mmm-yyyy")</f>
        <v>Apr-2025</v>
      </c>
      <c r="D459" s="7" t="s">
        <v>26</v>
      </c>
      <c r="E459" s="7" t="s">
        <v>27</v>
      </c>
      <c r="F459" s="7">
        <v>7</v>
      </c>
      <c r="G459" s="13">
        <v>67703</v>
      </c>
      <c r="H459" s="13">
        <v>23663</v>
      </c>
      <c r="I459" s="7" t="s">
        <v>36</v>
      </c>
      <c r="J459" s="14">
        <f t="shared" si="7"/>
        <v>473921</v>
      </c>
      <c r="K459" s="14">
        <f>Table2[[#This Row],[Revenue]]-Table2[[#This Row],[Expense]]</f>
        <v>450258</v>
      </c>
    </row>
    <row r="460" spans="1:11">
      <c r="A460" s="16" t="s">
        <v>483</v>
      </c>
      <c r="B460" s="10">
        <v>45751</v>
      </c>
      <c r="C460" s="10" t="str">
        <f>TEXT(Table2[[#This Row],[Date]],"mmm-yyyy")</f>
        <v>Apr-2025</v>
      </c>
      <c r="D460" s="7" t="s">
        <v>26</v>
      </c>
      <c r="E460" s="7" t="s">
        <v>22</v>
      </c>
      <c r="F460" s="7">
        <v>6</v>
      </c>
      <c r="G460" s="13">
        <v>77316</v>
      </c>
      <c r="H460" s="13">
        <v>10587</v>
      </c>
      <c r="I460" s="7" t="s">
        <v>30</v>
      </c>
      <c r="J460" s="14">
        <f t="shared" si="7"/>
        <v>463896</v>
      </c>
      <c r="K460" s="14">
        <f>Table2[[#This Row],[Revenue]]-Table2[[#This Row],[Expense]]</f>
        <v>453309</v>
      </c>
    </row>
    <row r="461" spans="1:11">
      <c r="A461" s="16" t="s">
        <v>484</v>
      </c>
      <c r="B461" s="10">
        <v>45752</v>
      </c>
      <c r="C461" s="10" t="str">
        <f>TEXT(Table2[[#This Row],[Date]],"mmm-yyyy")</f>
        <v>Apr-2025</v>
      </c>
      <c r="D461" s="7" t="s">
        <v>15</v>
      </c>
      <c r="E461" s="7" t="s">
        <v>24</v>
      </c>
      <c r="F461" s="7">
        <v>5</v>
      </c>
      <c r="G461" s="13">
        <v>68511</v>
      </c>
      <c r="H461" s="13">
        <v>6105</v>
      </c>
      <c r="I461" s="7" t="s">
        <v>36</v>
      </c>
      <c r="J461" s="14">
        <f t="shared" si="7"/>
        <v>342555</v>
      </c>
      <c r="K461" s="14">
        <f>Table2[[#This Row],[Revenue]]-Table2[[#This Row],[Expense]]</f>
        <v>336450</v>
      </c>
    </row>
    <row r="462" spans="1:11">
      <c r="A462" s="16" t="s">
        <v>485</v>
      </c>
      <c r="B462" s="10">
        <v>45752</v>
      </c>
      <c r="C462" s="10" t="str">
        <f>TEXT(Table2[[#This Row],[Date]],"mmm-yyyy")</f>
        <v>Apr-2025</v>
      </c>
      <c r="D462" s="7" t="s">
        <v>2</v>
      </c>
      <c r="E462" s="7" t="s">
        <v>27</v>
      </c>
      <c r="F462" s="7">
        <v>4</v>
      </c>
      <c r="G462" s="13">
        <v>38567</v>
      </c>
      <c r="H462" s="13">
        <v>15289</v>
      </c>
      <c r="I462" s="7" t="s">
        <v>17</v>
      </c>
      <c r="J462" s="14">
        <f t="shared" si="7"/>
        <v>154268</v>
      </c>
      <c r="K462" s="14">
        <f>Table2[[#This Row],[Revenue]]-Table2[[#This Row],[Expense]]</f>
        <v>138979</v>
      </c>
    </row>
    <row r="463" spans="1:11">
      <c r="A463" s="16" t="s">
        <v>486</v>
      </c>
      <c r="B463" s="10">
        <v>45753</v>
      </c>
      <c r="C463" s="10" t="str">
        <f>TEXT(Table2[[#This Row],[Date]],"mmm-yyyy")</f>
        <v>Apr-2025</v>
      </c>
      <c r="D463" s="7" t="s">
        <v>3</v>
      </c>
      <c r="E463" s="7" t="s">
        <v>22</v>
      </c>
      <c r="F463" s="7">
        <v>4</v>
      </c>
      <c r="G463" s="13">
        <v>73088</v>
      </c>
      <c r="H463" s="13">
        <v>12005</v>
      </c>
      <c r="I463" s="7" t="s">
        <v>30</v>
      </c>
      <c r="J463" s="14">
        <f t="shared" si="7"/>
        <v>292352</v>
      </c>
      <c r="K463" s="14">
        <f>Table2[[#This Row],[Revenue]]-Table2[[#This Row],[Expense]]</f>
        <v>280347</v>
      </c>
    </row>
    <row r="464" spans="1:11">
      <c r="A464" s="16" t="s">
        <v>487</v>
      </c>
      <c r="B464" s="10">
        <v>45753</v>
      </c>
      <c r="C464" s="10" t="str">
        <f>TEXT(Table2[[#This Row],[Date]],"mmm-yyyy")</f>
        <v>Apr-2025</v>
      </c>
      <c r="D464" s="7" t="s">
        <v>3</v>
      </c>
      <c r="E464" s="7" t="s">
        <v>32</v>
      </c>
      <c r="F464" s="7">
        <v>6</v>
      </c>
      <c r="G464" s="13">
        <v>40032</v>
      </c>
      <c r="H464" s="13">
        <v>6017</v>
      </c>
      <c r="I464" s="7" t="s">
        <v>36</v>
      </c>
      <c r="J464" s="14">
        <f t="shared" si="7"/>
        <v>240192</v>
      </c>
      <c r="K464" s="14">
        <f>Table2[[#This Row],[Revenue]]-Table2[[#This Row],[Expense]]</f>
        <v>234175</v>
      </c>
    </row>
    <row r="465" spans="1:11">
      <c r="A465" s="16" t="s">
        <v>488</v>
      </c>
      <c r="B465" s="10">
        <v>45754</v>
      </c>
      <c r="C465" s="10" t="str">
        <f>TEXT(Table2[[#This Row],[Date]],"mmm-yyyy")</f>
        <v>Apr-2025</v>
      </c>
      <c r="D465" s="7" t="s">
        <v>15</v>
      </c>
      <c r="E465" s="7" t="s">
        <v>32</v>
      </c>
      <c r="F465" s="7">
        <v>1</v>
      </c>
      <c r="G465" s="13">
        <v>61131</v>
      </c>
      <c r="H465" s="13">
        <v>29228</v>
      </c>
      <c r="I465" s="7" t="s">
        <v>30</v>
      </c>
      <c r="J465" s="14">
        <f t="shared" si="7"/>
        <v>61131</v>
      </c>
      <c r="K465" s="14">
        <f>Table2[[#This Row],[Revenue]]-Table2[[#This Row],[Expense]]</f>
        <v>31903</v>
      </c>
    </row>
    <row r="466" spans="1:11">
      <c r="A466" s="16" t="s">
        <v>489</v>
      </c>
      <c r="B466" s="10">
        <v>45755</v>
      </c>
      <c r="C466" s="10" t="str">
        <f>TEXT(Table2[[#This Row],[Date]],"mmm-yyyy")</f>
        <v>Apr-2025</v>
      </c>
      <c r="D466" s="7" t="s">
        <v>3</v>
      </c>
      <c r="E466" s="7" t="s">
        <v>27</v>
      </c>
      <c r="F466" s="7">
        <v>2</v>
      </c>
      <c r="G466" s="13">
        <v>9608</v>
      </c>
      <c r="H466" s="13">
        <v>3520</v>
      </c>
      <c r="I466" s="7" t="s">
        <v>30</v>
      </c>
      <c r="J466" s="14">
        <f t="shared" si="7"/>
        <v>19216</v>
      </c>
      <c r="K466" s="14">
        <f>Table2[[#This Row],[Revenue]]-Table2[[#This Row],[Expense]]</f>
        <v>15696</v>
      </c>
    </row>
    <row r="467" spans="1:11">
      <c r="A467" s="16" t="s">
        <v>490</v>
      </c>
      <c r="B467" s="10">
        <v>45755</v>
      </c>
      <c r="C467" s="10" t="str">
        <f>TEXT(Table2[[#This Row],[Date]],"mmm-yyyy")</f>
        <v>Apr-2025</v>
      </c>
      <c r="D467" s="7" t="s">
        <v>1</v>
      </c>
      <c r="E467" s="7" t="s">
        <v>32</v>
      </c>
      <c r="F467" s="7">
        <v>4</v>
      </c>
      <c r="G467" s="13">
        <v>59974</v>
      </c>
      <c r="H467" s="13">
        <v>14171</v>
      </c>
      <c r="I467" s="7" t="s">
        <v>30</v>
      </c>
      <c r="J467" s="14">
        <f t="shared" si="7"/>
        <v>239896</v>
      </c>
      <c r="K467" s="14">
        <f>Table2[[#This Row],[Revenue]]-Table2[[#This Row],[Expense]]</f>
        <v>225725</v>
      </c>
    </row>
    <row r="468" spans="1:11">
      <c r="A468" s="16" t="s">
        <v>491</v>
      </c>
      <c r="B468" s="10">
        <v>45758</v>
      </c>
      <c r="C468" s="10" t="str">
        <f>TEXT(Table2[[#This Row],[Date]],"mmm-yyyy")</f>
        <v>Apr-2025</v>
      </c>
      <c r="D468" s="7" t="s">
        <v>2</v>
      </c>
      <c r="E468" s="7" t="s">
        <v>24</v>
      </c>
      <c r="F468" s="7">
        <v>9</v>
      </c>
      <c r="G468" s="13">
        <v>54561</v>
      </c>
      <c r="H468" s="13">
        <v>45638</v>
      </c>
      <c r="I468" s="7" t="s">
        <v>30</v>
      </c>
      <c r="J468" s="14">
        <f t="shared" si="7"/>
        <v>491049</v>
      </c>
      <c r="K468" s="14">
        <f>Table2[[#This Row],[Revenue]]-Table2[[#This Row],[Expense]]</f>
        <v>445411</v>
      </c>
    </row>
    <row r="469" spans="1:11">
      <c r="A469" s="16" t="s">
        <v>492</v>
      </c>
      <c r="B469" s="10">
        <v>45760</v>
      </c>
      <c r="C469" s="10" t="str">
        <f>TEXT(Table2[[#This Row],[Date]],"mmm-yyyy")</f>
        <v>Apr-2025</v>
      </c>
      <c r="D469" s="7" t="s">
        <v>3</v>
      </c>
      <c r="E469" s="7" t="s">
        <v>27</v>
      </c>
      <c r="F469" s="7">
        <v>9</v>
      </c>
      <c r="G469" s="13">
        <v>77925</v>
      </c>
      <c r="H469" s="13">
        <v>40112</v>
      </c>
      <c r="I469" s="7" t="s">
        <v>17</v>
      </c>
      <c r="J469" s="14">
        <f t="shared" si="7"/>
        <v>701325</v>
      </c>
      <c r="K469" s="14">
        <f>Table2[[#This Row],[Revenue]]-Table2[[#This Row],[Expense]]</f>
        <v>661213</v>
      </c>
    </row>
    <row r="470" spans="1:11">
      <c r="A470" s="16" t="s">
        <v>493</v>
      </c>
      <c r="B470" s="10">
        <v>45761</v>
      </c>
      <c r="C470" s="10" t="str">
        <f>TEXT(Table2[[#This Row],[Date]],"mmm-yyyy")</f>
        <v>Apr-2025</v>
      </c>
      <c r="D470" s="7" t="s">
        <v>15</v>
      </c>
      <c r="E470" s="7" t="s">
        <v>22</v>
      </c>
      <c r="F470" s="7">
        <v>1</v>
      </c>
      <c r="G470" s="13">
        <v>72466</v>
      </c>
      <c r="H470" s="13">
        <v>35622</v>
      </c>
      <c r="I470" s="7" t="s">
        <v>19</v>
      </c>
      <c r="J470" s="14">
        <f t="shared" si="7"/>
        <v>72466</v>
      </c>
      <c r="K470" s="14">
        <f>Table2[[#This Row],[Revenue]]-Table2[[#This Row],[Expense]]</f>
        <v>36844</v>
      </c>
    </row>
    <row r="471" spans="1:11">
      <c r="A471" s="16" t="s">
        <v>494</v>
      </c>
      <c r="B471" s="10">
        <v>45761</v>
      </c>
      <c r="C471" s="10" t="str">
        <f>TEXT(Table2[[#This Row],[Date]],"mmm-yyyy")</f>
        <v>Apr-2025</v>
      </c>
      <c r="D471" s="7" t="s">
        <v>3</v>
      </c>
      <c r="E471" s="7" t="s">
        <v>22</v>
      </c>
      <c r="F471" s="7">
        <v>9</v>
      </c>
      <c r="G471" s="13">
        <v>10642</v>
      </c>
      <c r="H471" s="13">
        <v>1645</v>
      </c>
      <c r="I471" s="7" t="s">
        <v>30</v>
      </c>
      <c r="J471" s="14">
        <f t="shared" si="7"/>
        <v>95778</v>
      </c>
      <c r="K471" s="14">
        <f>Table2[[#This Row],[Revenue]]-Table2[[#This Row],[Expense]]</f>
        <v>94133</v>
      </c>
    </row>
    <row r="472" spans="1:11">
      <c r="A472" s="16" t="s">
        <v>495</v>
      </c>
      <c r="B472" s="10">
        <v>45762</v>
      </c>
      <c r="C472" s="10" t="str">
        <f>TEXT(Table2[[#This Row],[Date]],"mmm-yyyy")</f>
        <v>Apr-2025</v>
      </c>
      <c r="D472" s="7" t="s">
        <v>26</v>
      </c>
      <c r="E472" s="7" t="s">
        <v>27</v>
      </c>
      <c r="F472" s="7">
        <v>8</v>
      </c>
      <c r="G472" s="13">
        <v>2961</v>
      </c>
      <c r="H472" s="13">
        <v>29795</v>
      </c>
      <c r="I472" s="7" t="s">
        <v>30</v>
      </c>
      <c r="J472" s="14">
        <f t="shared" si="7"/>
        <v>23688</v>
      </c>
      <c r="K472" s="14">
        <f>Table2[[#This Row],[Revenue]]-Table2[[#This Row],[Expense]]</f>
        <v>-6107</v>
      </c>
    </row>
    <row r="473" spans="1:11">
      <c r="A473" s="16" t="s">
        <v>496</v>
      </c>
      <c r="B473" s="10">
        <v>45763</v>
      </c>
      <c r="C473" s="10" t="str">
        <f>TEXT(Table2[[#This Row],[Date]],"mmm-yyyy")</f>
        <v>Apr-2025</v>
      </c>
      <c r="D473" s="7" t="s">
        <v>15</v>
      </c>
      <c r="E473" s="7" t="s">
        <v>27</v>
      </c>
      <c r="F473" s="7">
        <v>8</v>
      </c>
      <c r="G473" s="13">
        <v>36541</v>
      </c>
      <c r="H473" s="13">
        <v>28386</v>
      </c>
      <c r="I473" s="7" t="s">
        <v>30</v>
      </c>
      <c r="J473" s="14">
        <f t="shared" si="7"/>
        <v>292328</v>
      </c>
      <c r="K473" s="14">
        <f>Table2[[#This Row],[Revenue]]-Table2[[#This Row],[Expense]]</f>
        <v>263942</v>
      </c>
    </row>
    <row r="474" spans="1:11">
      <c r="A474" s="16" t="s">
        <v>497</v>
      </c>
      <c r="B474" s="10">
        <v>45763</v>
      </c>
      <c r="C474" s="10" t="str">
        <f>TEXT(Table2[[#This Row],[Date]],"mmm-yyyy")</f>
        <v>Apr-2025</v>
      </c>
      <c r="D474" s="7" t="s">
        <v>2</v>
      </c>
      <c r="E474" s="7" t="s">
        <v>24</v>
      </c>
      <c r="F474" s="7">
        <v>9</v>
      </c>
      <c r="G474" s="13">
        <v>52790</v>
      </c>
      <c r="H474" s="13">
        <v>23360</v>
      </c>
      <c r="I474" s="7" t="s">
        <v>17</v>
      </c>
      <c r="J474" s="14">
        <f t="shared" si="7"/>
        <v>475110</v>
      </c>
      <c r="K474" s="14">
        <f>Table2[[#This Row],[Revenue]]-Table2[[#This Row],[Expense]]</f>
        <v>451750</v>
      </c>
    </row>
    <row r="475" spans="1:11">
      <c r="A475" s="16" t="s">
        <v>498</v>
      </c>
      <c r="B475" s="10">
        <v>45764</v>
      </c>
      <c r="C475" s="10" t="str">
        <f>TEXT(Table2[[#This Row],[Date]],"mmm-yyyy")</f>
        <v>Apr-2025</v>
      </c>
      <c r="D475" s="7" t="s">
        <v>4</v>
      </c>
      <c r="E475" s="7" t="s">
        <v>32</v>
      </c>
      <c r="F475" s="7">
        <v>3</v>
      </c>
      <c r="G475" s="13">
        <v>11199</v>
      </c>
      <c r="H475" s="13">
        <v>41785</v>
      </c>
      <c r="I475" s="7" t="s">
        <v>30</v>
      </c>
      <c r="J475" s="14">
        <f t="shared" si="7"/>
        <v>33597</v>
      </c>
      <c r="K475" s="14">
        <f>Table2[[#This Row],[Revenue]]-Table2[[#This Row],[Expense]]</f>
        <v>-8188</v>
      </c>
    </row>
    <row r="476" spans="1:11">
      <c r="A476" s="16" t="s">
        <v>499</v>
      </c>
      <c r="B476" s="10">
        <v>45764</v>
      </c>
      <c r="C476" s="10" t="str">
        <f>TEXT(Table2[[#This Row],[Date]],"mmm-yyyy")</f>
        <v>Apr-2025</v>
      </c>
      <c r="D476" s="7" t="s">
        <v>1</v>
      </c>
      <c r="E476" s="7" t="s">
        <v>27</v>
      </c>
      <c r="F476" s="7">
        <v>6</v>
      </c>
      <c r="G476" s="13">
        <v>51696</v>
      </c>
      <c r="H476" s="13">
        <v>49563</v>
      </c>
      <c r="I476" s="7" t="s">
        <v>36</v>
      </c>
      <c r="J476" s="14">
        <f t="shared" si="7"/>
        <v>310176</v>
      </c>
      <c r="K476" s="14">
        <f>Table2[[#This Row],[Revenue]]-Table2[[#This Row],[Expense]]</f>
        <v>260613</v>
      </c>
    </row>
    <row r="477" spans="1:11">
      <c r="A477" s="16" t="s">
        <v>500</v>
      </c>
      <c r="B477" s="10">
        <v>45764</v>
      </c>
      <c r="C477" s="10" t="str">
        <f>TEXT(Table2[[#This Row],[Date]],"mmm-yyyy")</f>
        <v>Apr-2025</v>
      </c>
      <c r="D477" s="7" t="s">
        <v>4</v>
      </c>
      <c r="E477" s="7" t="s">
        <v>32</v>
      </c>
      <c r="F477" s="7">
        <v>2</v>
      </c>
      <c r="G477" s="13">
        <v>33284</v>
      </c>
      <c r="H477" s="13">
        <v>40901</v>
      </c>
      <c r="I477" s="7" t="s">
        <v>30</v>
      </c>
      <c r="J477" s="14">
        <f t="shared" si="7"/>
        <v>66568</v>
      </c>
      <c r="K477" s="14">
        <f>Table2[[#This Row],[Revenue]]-Table2[[#This Row],[Expense]]</f>
        <v>25667</v>
      </c>
    </row>
    <row r="478" spans="1:11">
      <c r="A478" s="16" t="s">
        <v>501</v>
      </c>
      <c r="B478" s="10">
        <v>45766</v>
      </c>
      <c r="C478" s="10" t="str">
        <f>TEXT(Table2[[#This Row],[Date]],"mmm-yyyy")</f>
        <v>Apr-2025</v>
      </c>
      <c r="D478" s="7" t="s">
        <v>4</v>
      </c>
      <c r="E478" s="7" t="s">
        <v>16</v>
      </c>
      <c r="F478" s="7">
        <v>7</v>
      </c>
      <c r="G478" s="13">
        <v>4212</v>
      </c>
      <c r="H478" s="13">
        <v>49231</v>
      </c>
      <c r="I478" s="7" t="s">
        <v>30</v>
      </c>
      <c r="J478" s="14">
        <f t="shared" si="7"/>
        <v>29484</v>
      </c>
      <c r="K478" s="14">
        <f>Table2[[#This Row],[Revenue]]-Table2[[#This Row],[Expense]]</f>
        <v>-19747</v>
      </c>
    </row>
    <row r="479" spans="1:11">
      <c r="A479" s="16" t="s">
        <v>502</v>
      </c>
      <c r="B479" s="10">
        <v>45766</v>
      </c>
      <c r="C479" s="10" t="str">
        <f>TEXT(Table2[[#This Row],[Date]],"mmm-yyyy")</f>
        <v>Apr-2025</v>
      </c>
      <c r="D479" s="7" t="s">
        <v>15</v>
      </c>
      <c r="E479" s="7" t="s">
        <v>16</v>
      </c>
      <c r="F479" s="7">
        <v>3</v>
      </c>
      <c r="G479" s="13">
        <v>61446</v>
      </c>
      <c r="H479" s="13">
        <v>25570</v>
      </c>
      <c r="I479" s="7" t="s">
        <v>19</v>
      </c>
      <c r="J479" s="14">
        <f t="shared" si="7"/>
        <v>184338</v>
      </c>
      <c r="K479" s="14">
        <f>Table2[[#This Row],[Revenue]]-Table2[[#This Row],[Expense]]</f>
        <v>158768</v>
      </c>
    </row>
    <row r="480" spans="1:11">
      <c r="A480" s="16" t="s">
        <v>503</v>
      </c>
      <c r="B480" s="10">
        <v>45767</v>
      </c>
      <c r="C480" s="10" t="str">
        <f>TEXT(Table2[[#This Row],[Date]],"mmm-yyyy")</f>
        <v>Apr-2025</v>
      </c>
      <c r="D480" s="7" t="s">
        <v>1</v>
      </c>
      <c r="E480" s="7" t="s">
        <v>16</v>
      </c>
      <c r="F480" s="7">
        <v>7</v>
      </c>
      <c r="G480" s="13">
        <v>4226</v>
      </c>
      <c r="H480" s="13">
        <v>30545</v>
      </c>
      <c r="I480" s="7" t="s">
        <v>30</v>
      </c>
      <c r="J480" s="14">
        <f t="shared" si="7"/>
        <v>29582</v>
      </c>
      <c r="K480" s="14">
        <f>Table2[[#This Row],[Revenue]]-Table2[[#This Row],[Expense]]</f>
        <v>-963</v>
      </c>
    </row>
    <row r="481" spans="1:11">
      <c r="A481" s="16" t="s">
        <v>504</v>
      </c>
      <c r="B481" s="10">
        <v>45767</v>
      </c>
      <c r="C481" s="10" t="str">
        <f>TEXT(Table2[[#This Row],[Date]],"mmm-yyyy")</f>
        <v>Apr-2025</v>
      </c>
      <c r="D481" s="7" t="s">
        <v>15</v>
      </c>
      <c r="E481" s="7" t="s">
        <v>16</v>
      </c>
      <c r="F481" s="7">
        <v>4</v>
      </c>
      <c r="G481" s="13">
        <v>57522</v>
      </c>
      <c r="H481" s="13">
        <v>19658</v>
      </c>
      <c r="I481" s="7" t="s">
        <v>19</v>
      </c>
      <c r="J481" s="14">
        <f t="shared" si="7"/>
        <v>230088</v>
      </c>
      <c r="K481" s="14">
        <f>Table2[[#This Row],[Revenue]]-Table2[[#This Row],[Expense]]</f>
        <v>210430</v>
      </c>
    </row>
    <row r="482" spans="1:11">
      <c r="A482" s="16" t="s">
        <v>505</v>
      </c>
      <c r="B482" s="10">
        <v>45768</v>
      </c>
      <c r="C482" s="10" t="str">
        <f>TEXT(Table2[[#This Row],[Date]],"mmm-yyyy")</f>
        <v>Apr-2025</v>
      </c>
      <c r="D482" s="7" t="s">
        <v>3</v>
      </c>
      <c r="E482" s="7" t="s">
        <v>27</v>
      </c>
      <c r="F482" s="7">
        <v>1</v>
      </c>
      <c r="G482" s="13">
        <v>36878</v>
      </c>
      <c r="H482" s="13">
        <v>16379</v>
      </c>
      <c r="I482" s="7" t="s">
        <v>36</v>
      </c>
      <c r="J482" s="14">
        <f t="shared" si="7"/>
        <v>36878</v>
      </c>
      <c r="K482" s="14">
        <f>Table2[[#This Row],[Revenue]]-Table2[[#This Row],[Expense]]</f>
        <v>20499</v>
      </c>
    </row>
    <row r="483" spans="1:11">
      <c r="A483" s="16" t="s">
        <v>506</v>
      </c>
      <c r="B483" s="10">
        <v>45768</v>
      </c>
      <c r="C483" s="10" t="str">
        <f>TEXT(Table2[[#This Row],[Date]],"mmm-yyyy")</f>
        <v>Apr-2025</v>
      </c>
      <c r="D483" s="7" t="s">
        <v>3</v>
      </c>
      <c r="E483" s="7" t="s">
        <v>27</v>
      </c>
      <c r="F483" s="7">
        <v>9</v>
      </c>
      <c r="G483" s="13">
        <v>6478</v>
      </c>
      <c r="H483" s="13">
        <v>12439</v>
      </c>
      <c r="I483" s="7" t="s">
        <v>36</v>
      </c>
      <c r="J483" s="14">
        <f t="shared" si="7"/>
        <v>58302</v>
      </c>
      <c r="K483" s="14">
        <f>Table2[[#This Row],[Revenue]]-Table2[[#This Row],[Expense]]</f>
        <v>45863</v>
      </c>
    </row>
    <row r="484" spans="1:11">
      <c r="A484" s="16" t="s">
        <v>507</v>
      </c>
      <c r="B484" s="10">
        <v>45769</v>
      </c>
      <c r="C484" s="10" t="str">
        <f>TEXT(Table2[[#This Row],[Date]],"mmm-yyyy")</f>
        <v>Apr-2025</v>
      </c>
      <c r="D484" s="7" t="s">
        <v>1</v>
      </c>
      <c r="E484" s="7" t="s">
        <v>22</v>
      </c>
      <c r="F484" s="7">
        <v>2</v>
      </c>
      <c r="G484" s="13">
        <v>10456</v>
      </c>
      <c r="H484" s="13">
        <v>39314</v>
      </c>
      <c r="I484" s="7" t="s">
        <v>19</v>
      </c>
      <c r="J484" s="14">
        <f t="shared" si="7"/>
        <v>20912</v>
      </c>
      <c r="K484" s="14">
        <f>Table2[[#This Row],[Revenue]]-Table2[[#This Row],[Expense]]</f>
        <v>-18402</v>
      </c>
    </row>
    <row r="485" spans="1:11">
      <c r="A485" s="16" t="s">
        <v>508</v>
      </c>
      <c r="B485" s="10">
        <v>45772</v>
      </c>
      <c r="C485" s="10" t="str">
        <f>TEXT(Table2[[#This Row],[Date]],"mmm-yyyy")</f>
        <v>Apr-2025</v>
      </c>
      <c r="D485" s="7" t="s">
        <v>4</v>
      </c>
      <c r="E485" s="7" t="s">
        <v>16</v>
      </c>
      <c r="F485" s="7">
        <v>4</v>
      </c>
      <c r="G485" s="13">
        <v>77860</v>
      </c>
      <c r="H485" s="13">
        <v>25765</v>
      </c>
      <c r="I485" s="7" t="s">
        <v>19</v>
      </c>
      <c r="J485" s="14">
        <f t="shared" si="7"/>
        <v>311440</v>
      </c>
      <c r="K485" s="14">
        <f>Table2[[#This Row],[Revenue]]-Table2[[#This Row],[Expense]]</f>
        <v>285675</v>
      </c>
    </row>
    <row r="486" spans="1:11">
      <c r="A486" s="16" t="s">
        <v>509</v>
      </c>
      <c r="B486" s="10">
        <v>45772</v>
      </c>
      <c r="C486" s="10" t="str">
        <f>TEXT(Table2[[#This Row],[Date]],"mmm-yyyy")</f>
        <v>Apr-2025</v>
      </c>
      <c r="D486" s="7" t="s">
        <v>15</v>
      </c>
      <c r="E486" s="7" t="s">
        <v>22</v>
      </c>
      <c r="F486" s="7">
        <v>8</v>
      </c>
      <c r="G486" s="13">
        <v>39214</v>
      </c>
      <c r="H486" s="13">
        <v>11487</v>
      </c>
      <c r="I486" s="7" t="s">
        <v>36</v>
      </c>
      <c r="J486" s="14">
        <f t="shared" si="7"/>
        <v>313712</v>
      </c>
      <c r="K486" s="14">
        <f>Table2[[#This Row],[Revenue]]-Table2[[#This Row],[Expense]]</f>
        <v>302225</v>
      </c>
    </row>
    <row r="487" spans="1:11">
      <c r="A487" s="16" t="s">
        <v>510</v>
      </c>
      <c r="B487" s="10">
        <v>45775</v>
      </c>
      <c r="C487" s="10" t="str">
        <f>TEXT(Table2[[#This Row],[Date]],"mmm-yyyy")</f>
        <v>Apr-2025</v>
      </c>
      <c r="D487" s="7" t="s">
        <v>15</v>
      </c>
      <c r="E487" s="7" t="s">
        <v>27</v>
      </c>
      <c r="F487" s="7">
        <v>8</v>
      </c>
      <c r="G487" s="13">
        <v>45476</v>
      </c>
      <c r="H487" s="13">
        <v>49868</v>
      </c>
      <c r="I487" s="7" t="s">
        <v>19</v>
      </c>
      <c r="J487" s="14">
        <f t="shared" si="7"/>
        <v>363808</v>
      </c>
      <c r="K487" s="14">
        <f>Table2[[#This Row],[Revenue]]-Table2[[#This Row],[Expense]]</f>
        <v>313940</v>
      </c>
    </row>
    <row r="488" spans="1:11">
      <c r="A488" s="16" t="s">
        <v>511</v>
      </c>
      <c r="B488" s="10">
        <v>45775</v>
      </c>
      <c r="C488" s="10" t="str">
        <f>TEXT(Table2[[#This Row],[Date]],"mmm-yyyy")</f>
        <v>Apr-2025</v>
      </c>
      <c r="D488" s="7" t="s">
        <v>26</v>
      </c>
      <c r="E488" s="7" t="s">
        <v>27</v>
      </c>
      <c r="F488" s="7">
        <v>8</v>
      </c>
      <c r="G488" s="13">
        <v>49730</v>
      </c>
      <c r="H488" s="13">
        <v>27170</v>
      </c>
      <c r="I488" s="7" t="s">
        <v>17</v>
      </c>
      <c r="J488" s="14">
        <f t="shared" si="7"/>
        <v>397840</v>
      </c>
      <c r="K488" s="14">
        <f>Table2[[#This Row],[Revenue]]-Table2[[#This Row],[Expense]]</f>
        <v>370670</v>
      </c>
    </row>
    <row r="489" spans="1:11">
      <c r="A489" s="16" t="s">
        <v>512</v>
      </c>
      <c r="B489" s="10">
        <v>45776</v>
      </c>
      <c r="C489" s="10" t="str">
        <f>TEXT(Table2[[#This Row],[Date]],"mmm-yyyy")</f>
        <v>Apr-2025</v>
      </c>
      <c r="D489" s="7" t="s">
        <v>3</v>
      </c>
      <c r="E489" s="7" t="s">
        <v>32</v>
      </c>
      <c r="F489" s="7">
        <v>8</v>
      </c>
      <c r="G489" s="13">
        <v>6971</v>
      </c>
      <c r="H489" s="13">
        <v>20363</v>
      </c>
      <c r="I489" s="7" t="s">
        <v>19</v>
      </c>
      <c r="J489" s="14">
        <f t="shared" si="7"/>
        <v>55768</v>
      </c>
      <c r="K489" s="14">
        <f>Table2[[#This Row],[Revenue]]-Table2[[#This Row],[Expense]]</f>
        <v>35405</v>
      </c>
    </row>
    <row r="490" spans="1:11">
      <c r="A490" s="16" t="s">
        <v>513</v>
      </c>
      <c r="B490" s="10">
        <v>45776</v>
      </c>
      <c r="C490" s="10" t="str">
        <f>TEXT(Table2[[#This Row],[Date]],"mmm-yyyy")</f>
        <v>Apr-2025</v>
      </c>
      <c r="D490" s="7" t="s">
        <v>15</v>
      </c>
      <c r="E490" s="7" t="s">
        <v>27</v>
      </c>
      <c r="F490" s="7">
        <v>8</v>
      </c>
      <c r="G490" s="13">
        <v>19701</v>
      </c>
      <c r="H490" s="13">
        <v>38051</v>
      </c>
      <c r="I490" s="7" t="s">
        <v>19</v>
      </c>
      <c r="J490" s="14">
        <f t="shared" si="7"/>
        <v>157608</v>
      </c>
      <c r="K490" s="14">
        <f>Table2[[#This Row],[Revenue]]-Table2[[#This Row],[Expense]]</f>
        <v>119557</v>
      </c>
    </row>
    <row r="491" spans="1:11">
      <c r="A491" s="16" t="s">
        <v>514</v>
      </c>
      <c r="B491" s="10">
        <v>45776</v>
      </c>
      <c r="C491" s="10" t="str">
        <f>TEXT(Table2[[#This Row],[Date]],"mmm-yyyy")</f>
        <v>Apr-2025</v>
      </c>
      <c r="D491" s="7" t="s">
        <v>3</v>
      </c>
      <c r="E491" s="7" t="s">
        <v>16</v>
      </c>
      <c r="F491" s="7">
        <v>6</v>
      </c>
      <c r="G491" s="13">
        <v>15216</v>
      </c>
      <c r="H491" s="13">
        <v>45629</v>
      </c>
      <c r="I491" s="7" t="s">
        <v>19</v>
      </c>
      <c r="J491" s="14">
        <f t="shared" si="7"/>
        <v>91296</v>
      </c>
      <c r="K491" s="14">
        <f>Table2[[#This Row],[Revenue]]-Table2[[#This Row],[Expense]]</f>
        <v>45667</v>
      </c>
    </row>
    <row r="492" spans="1:11">
      <c r="A492" s="16" t="s">
        <v>515</v>
      </c>
      <c r="B492" s="10">
        <v>45780</v>
      </c>
      <c r="C492" s="10" t="str">
        <f>TEXT(Table2[[#This Row],[Date]],"mmm-yyyy")</f>
        <v>May-2025</v>
      </c>
      <c r="D492" s="7" t="s">
        <v>4</v>
      </c>
      <c r="E492" s="7" t="s">
        <v>16</v>
      </c>
      <c r="F492" s="7">
        <v>9</v>
      </c>
      <c r="G492" s="13">
        <v>67418</v>
      </c>
      <c r="H492" s="13">
        <v>35881</v>
      </c>
      <c r="I492" s="7" t="s">
        <v>19</v>
      </c>
      <c r="J492" s="14">
        <f t="shared" si="7"/>
        <v>606762</v>
      </c>
      <c r="K492" s="14">
        <f>Table2[[#This Row],[Revenue]]-Table2[[#This Row],[Expense]]</f>
        <v>570881</v>
      </c>
    </row>
    <row r="493" spans="1:11">
      <c r="A493" s="16" t="s">
        <v>516</v>
      </c>
      <c r="B493" s="10">
        <v>45781</v>
      </c>
      <c r="C493" s="10" t="str">
        <f>TEXT(Table2[[#This Row],[Date]],"mmm-yyyy")</f>
        <v>May-2025</v>
      </c>
      <c r="D493" s="7" t="s">
        <v>26</v>
      </c>
      <c r="E493" s="7" t="s">
        <v>16</v>
      </c>
      <c r="F493" s="7">
        <v>9</v>
      </c>
      <c r="G493" s="13">
        <v>68888</v>
      </c>
      <c r="H493" s="13">
        <v>19394</v>
      </c>
      <c r="I493" s="7" t="s">
        <v>17</v>
      </c>
      <c r="J493" s="14">
        <f t="shared" si="7"/>
        <v>619992</v>
      </c>
      <c r="K493" s="14">
        <f>Table2[[#This Row],[Revenue]]-Table2[[#This Row],[Expense]]</f>
        <v>600598</v>
      </c>
    </row>
    <row r="494" spans="1:11">
      <c r="A494" s="16" t="s">
        <v>517</v>
      </c>
      <c r="B494" s="10">
        <v>45781</v>
      </c>
      <c r="C494" s="10" t="str">
        <f>TEXT(Table2[[#This Row],[Date]],"mmm-yyyy")</f>
        <v>May-2025</v>
      </c>
      <c r="D494" s="7" t="s">
        <v>4</v>
      </c>
      <c r="E494" s="7" t="s">
        <v>22</v>
      </c>
      <c r="F494" s="7">
        <v>2</v>
      </c>
      <c r="G494" s="13">
        <v>31341</v>
      </c>
      <c r="H494" s="13">
        <v>23424</v>
      </c>
      <c r="I494" s="7" t="s">
        <v>19</v>
      </c>
      <c r="J494" s="14">
        <f t="shared" si="7"/>
        <v>62682</v>
      </c>
      <c r="K494" s="14">
        <f>Table2[[#This Row],[Revenue]]-Table2[[#This Row],[Expense]]</f>
        <v>39258</v>
      </c>
    </row>
    <row r="495" spans="1:11">
      <c r="A495" s="16" t="s">
        <v>518</v>
      </c>
      <c r="B495" s="10">
        <v>45783</v>
      </c>
      <c r="C495" s="10" t="str">
        <f>TEXT(Table2[[#This Row],[Date]],"mmm-yyyy")</f>
        <v>May-2025</v>
      </c>
      <c r="D495" s="7" t="s">
        <v>3</v>
      </c>
      <c r="E495" s="7" t="s">
        <v>24</v>
      </c>
      <c r="F495" s="7">
        <v>2</v>
      </c>
      <c r="G495" s="13">
        <v>61076</v>
      </c>
      <c r="H495" s="13">
        <v>19450</v>
      </c>
      <c r="I495" s="7" t="s">
        <v>30</v>
      </c>
      <c r="J495" s="14">
        <f t="shared" si="7"/>
        <v>122152</v>
      </c>
      <c r="K495" s="14">
        <f>Table2[[#This Row],[Revenue]]-Table2[[#This Row],[Expense]]</f>
        <v>102702</v>
      </c>
    </row>
    <row r="496" spans="1:11">
      <c r="A496" s="16" t="s">
        <v>519</v>
      </c>
      <c r="B496" s="10">
        <v>45783</v>
      </c>
      <c r="C496" s="10" t="str">
        <f>TEXT(Table2[[#This Row],[Date]],"mmm-yyyy")</f>
        <v>May-2025</v>
      </c>
      <c r="D496" s="7" t="s">
        <v>1</v>
      </c>
      <c r="E496" s="7" t="s">
        <v>24</v>
      </c>
      <c r="F496" s="7">
        <v>3</v>
      </c>
      <c r="G496" s="13">
        <v>7727</v>
      </c>
      <c r="H496" s="13">
        <v>20194</v>
      </c>
      <c r="I496" s="7" t="s">
        <v>19</v>
      </c>
      <c r="J496" s="14">
        <f t="shared" si="7"/>
        <v>23181</v>
      </c>
      <c r="K496" s="14">
        <f>Table2[[#This Row],[Revenue]]-Table2[[#This Row],[Expense]]</f>
        <v>2987</v>
      </c>
    </row>
    <row r="497" spans="1:11">
      <c r="A497" s="16" t="s">
        <v>520</v>
      </c>
      <c r="B497" s="10">
        <v>45784</v>
      </c>
      <c r="C497" s="10" t="str">
        <f>TEXT(Table2[[#This Row],[Date]],"mmm-yyyy")</f>
        <v>May-2025</v>
      </c>
      <c r="D497" s="7" t="s">
        <v>2</v>
      </c>
      <c r="E497" s="7" t="s">
        <v>27</v>
      </c>
      <c r="F497" s="7">
        <v>1</v>
      </c>
      <c r="G497" s="13">
        <v>34568</v>
      </c>
      <c r="H497" s="13">
        <v>49831</v>
      </c>
      <c r="I497" s="7" t="s">
        <v>19</v>
      </c>
      <c r="J497" s="14">
        <f t="shared" si="7"/>
        <v>34568</v>
      </c>
      <c r="K497" s="14">
        <f>Table2[[#This Row],[Revenue]]-Table2[[#This Row],[Expense]]</f>
        <v>-15263</v>
      </c>
    </row>
    <row r="498" spans="1:11">
      <c r="A498" s="16" t="s">
        <v>521</v>
      </c>
      <c r="B498" s="10">
        <v>45788</v>
      </c>
      <c r="C498" s="10" t="str">
        <f>TEXT(Table2[[#This Row],[Date]],"mmm-yyyy")</f>
        <v>May-2025</v>
      </c>
      <c r="D498" s="7" t="s">
        <v>15</v>
      </c>
      <c r="E498" s="7" t="s">
        <v>16</v>
      </c>
      <c r="F498" s="7">
        <v>1</v>
      </c>
      <c r="G498" s="13">
        <v>24726</v>
      </c>
      <c r="H498" s="13">
        <v>26000</v>
      </c>
      <c r="I498" s="7" t="s">
        <v>19</v>
      </c>
      <c r="J498" s="14">
        <f t="shared" si="7"/>
        <v>24726</v>
      </c>
      <c r="K498" s="14">
        <f>Table2[[#This Row],[Revenue]]-Table2[[#This Row],[Expense]]</f>
        <v>-1274</v>
      </c>
    </row>
    <row r="499" spans="1:11">
      <c r="A499" s="16" t="s">
        <v>522</v>
      </c>
      <c r="B499" s="10">
        <v>45788</v>
      </c>
      <c r="C499" s="10" t="str">
        <f>TEXT(Table2[[#This Row],[Date]],"mmm-yyyy")</f>
        <v>May-2025</v>
      </c>
      <c r="D499" s="7" t="s">
        <v>4</v>
      </c>
      <c r="E499" s="7" t="s">
        <v>16</v>
      </c>
      <c r="F499" s="7">
        <v>1</v>
      </c>
      <c r="G499" s="13">
        <v>46338</v>
      </c>
      <c r="H499" s="13">
        <v>13576</v>
      </c>
      <c r="I499" s="7" t="s">
        <v>19</v>
      </c>
      <c r="J499" s="14">
        <f t="shared" si="7"/>
        <v>46338</v>
      </c>
      <c r="K499" s="14">
        <f>Table2[[#This Row],[Revenue]]-Table2[[#This Row],[Expense]]</f>
        <v>32762</v>
      </c>
    </row>
    <row r="500" spans="1:11">
      <c r="A500" s="16" t="s">
        <v>523</v>
      </c>
      <c r="B500" s="10">
        <v>45790</v>
      </c>
      <c r="C500" s="10" t="str">
        <f>TEXT(Table2[[#This Row],[Date]],"mmm-yyyy")</f>
        <v>May-2025</v>
      </c>
      <c r="D500" s="7" t="s">
        <v>1</v>
      </c>
      <c r="E500" s="7" t="s">
        <v>22</v>
      </c>
      <c r="F500" s="7">
        <v>4</v>
      </c>
      <c r="G500" s="13">
        <v>69076</v>
      </c>
      <c r="H500" s="13">
        <v>17184</v>
      </c>
      <c r="I500" s="7" t="s">
        <v>36</v>
      </c>
      <c r="J500" s="14">
        <f t="shared" si="7"/>
        <v>276304</v>
      </c>
      <c r="K500" s="14">
        <f>Table2[[#This Row],[Revenue]]-Table2[[#This Row],[Expense]]</f>
        <v>259120</v>
      </c>
    </row>
    <row r="501" spans="1:11">
      <c r="A501" s="16" t="s">
        <v>524</v>
      </c>
      <c r="B501" s="10">
        <v>45791</v>
      </c>
      <c r="C501" s="10" t="str">
        <f>TEXT(Table2[[#This Row],[Date]],"mmm-yyyy")</f>
        <v>May-2025</v>
      </c>
      <c r="D501" s="7" t="s">
        <v>4</v>
      </c>
      <c r="E501" s="7" t="s">
        <v>27</v>
      </c>
      <c r="F501" s="7">
        <v>8</v>
      </c>
      <c r="G501" s="13">
        <v>73794</v>
      </c>
      <c r="H501" s="13">
        <v>11403</v>
      </c>
      <c r="I501" s="7" t="s">
        <v>19</v>
      </c>
      <c r="J501" s="14">
        <f t="shared" si="7"/>
        <v>590352</v>
      </c>
      <c r="K501" s="14">
        <f>Table2[[#This Row],[Revenue]]-Table2[[#This Row],[Expense]]</f>
        <v>578949</v>
      </c>
    </row>
    <row r="502" spans="1:11">
      <c r="C502" s="10"/>
    </row>
    <row r="503" spans="1:11">
      <c r="C503" s="10"/>
    </row>
    <row r="504" spans="1:11">
      <c r="C504" s="10"/>
    </row>
    <row r="505" spans="1:11">
      <c r="C505" s="10"/>
    </row>
    <row r="506" spans="1:11">
      <c r="C506" s="10"/>
    </row>
    <row r="507" spans="1:11">
      <c r="C507" s="10"/>
    </row>
    <row r="508" spans="1:11">
      <c r="C508" s="10"/>
    </row>
    <row r="509" spans="1:11">
      <c r="C509" s="10"/>
    </row>
    <row r="510" spans="1:11">
      <c r="C510" s="10"/>
    </row>
    <row r="511" spans="1:11">
      <c r="C511" s="10"/>
    </row>
    <row r="512" spans="1:11">
      <c r="C512" s="10"/>
    </row>
    <row r="513" spans="3:3">
      <c r="C513" s="10"/>
    </row>
    <row r="514" spans="3:3">
      <c r="C514" s="10"/>
    </row>
    <row r="515" spans="3:3">
      <c r="C515" s="10"/>
    </row>
    <row r="516" spans="3:3">
      <c r="C516" s="10"/>
    </row>
    <row r="517" spans="3:3">
      <c r="C517" s="10"/>
    </row>
    <row r="518" spans="3:3">
      <c r="C518" s="10"/>
    </row>
    <row r="519" spans="3:3">
      <c r="C519" s="10"/>
    </row>
    <row r="520" spans="3:3">
      <c r="C520" s="10"/>
    </row>
    <row r="521" spans="3:3">
      <c r="C521" s="10"/>
    </row>
    <row r="522" spans="3:3">
      <c r="C522" s="10"/>
    </row>
    <row r="523" spans="3:3">
      <c r="C523" s="10"/>
    </row>
    <row r="524" spans="3:3">
      <c r="C524" s="10"/>
    </row>
    <row r="525" spans="3:3">
      <c r="C525" s="10"/>
    </row>
    <row r="526" spans="3:3">
      <c r="C526" s="10"/>
    </row>
    <row r="527" spans="3:3">
      <c r="C527" s="10"/>
    </row>
    <row r="528" spans="3:3">
      <c r="C528" s="10"/>
    </row>
    <row r="529" spans="3:3">
      <c r="C529" s="10"/>
    </row>
    <row r="530" spans="3:3">
      <c r="C530" s="10"/>
    </row>
    <row r="531" spans="3:3">
      <c r="C531" s="10"/>
    </row>
    <row r="532" spans="3:3">
      <c r="C532" s="10"/>
    </row>
    <row r="533" spans="3:3">
      <c r="C533" s="10"/>
    </row>
    <row r="534" spans="3:3">
      <c r="C534" s="10"/>
    </row>
    <row r="535" spans="3:3">
      <c r="C535" s="10"/>
    </row>
    <row r="536" spans="3:3">
      <c r="C536" s="10"/>
    </row>
    <row r="537" spans="3:3">
      <c r="C537" s="10"/>
    </row>
    <row r="538" spans="3:3">
      <c r="C538" s="10"/>
    </row>
    <row r="539" spans="3:3">
      <c r="C539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2E27-D15E-ED40-9AEF-08AD9D5E8E66}">
  <dimension ref="A4:M32"/>
  <sheetViews>
    <sheetView showGridLines="0" tabSelected="1" topLeftCell="A7" zoomScale="50" zoomScaleNormal="89" workbookViewId="0">
      <selection activeCell="P87" sqref="P87"/>
    </sheetView>
  </sheetViews>
  <sheetFormatPr baseColWidth="10" defaultRowHeight="16"/>
  <cols>
    <col min="9" max="9" width="5" customWidth="1"/>
  </cols>
  <sheetData>
    <row r="4" spans="1:13" ht="3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25" spans="6:10" ht="70">
      <c r="F25" s="18"/>
      <c r="J25" s="19"/>
    </row>
    <row r="31" spans="6:10">
      <c r="I31" s="14"/>
    </row>
    <row r="32" spans="6:10" ht="70">
      <c r="F32" s="17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ED14-4158-CF41-9FDB-D83170A3A58E}">
  <dimension ref="B6:J26"/>
  <sheetViews>
    <sheetView topLeftCell="A4" zoomScale="136" workbookViewId="0">
      <selection activeCell="C20" sqref="C20"/>
    </sheetView>
  </sheetViews>
  <sheetFormatPr baseColWidth="10" defaultRowHeight="16"/>
  <cols>
    <col min="2" max="2" width="13" bestFit="1" customWidth="1"/>
    <col min="3" max="3" width="15" bestFit="1" customWidth="1"/>
    <col min="4" max="4" width="16" bestFit="1" customWidth="1"/>
    <col min="6" max="6" width="13" bestFit="1" customWidth="1"/>
    <col min="7" max="7" width="16" bestFit="1" customWidth="1"/>
    <col min="9" max="9" width="13" bestFit="1" customWidth="1"/>
    <col min="10" max="10" width="16" bestFit="1" customWidth="1"/>
  </cols>
  <sheetData>
    <row r="6" spans="2:10">
      <c r="B6" s="2" t="s">
        <v>6</v>
      </c>
      <c r="C6" t="s">
        <v>529</v>
      </c>
      <c r="D6" t="s">
        <v>528</v>
      </c>
      <c r="F6" s="2" t="s">
        <v>6</v>
      </c>
      <c r="G6" t="s">
        <v>528</v>
      </c>
      <c r="I6" s="2" t="s">
        <v>6</v>
      </c>
      <c r="J6" t="s">
        <v>528</v>
      </c>
    </row>
    <row r="7" spans="2:10">
      <c r="B7" s="3" t="s">
        <v>530</v>
      </c>
      <c r="C7" s="14"/>
      <c r="D7" s="14"/>
      <c r="F7" s="3" t="s">
        <v>2</v>
      </c>
      <c r="G7" s="14">
        <v>23638427</v>
      </c>
      <c r="I7" s="3" t="s">
        <v>19</v>
      </c>
      <c r="J7" s="14">
        <v>31076617</v>
      </c>
    </row>
    <row r="8" spans="2:10">
      <c r="B8" s="4" t="s">
        <v>532</v>
      </c>
      <c r="C8" s="14">
        <v>4396937</v>
      </c>
      <c r="D8" s="14">
        <v>4849466</v>
      </c>
      <c r="F8" s="3" t="s">
        <v>1</v>
      </c>
      <c r="G8" s="14">
        <v>18315870</v>
      </c>
      <c r="I8" s="3" t="s">
        <v>30</v>
      </c>
      <c r="J8" s="14">
        <v>25515988</v>
      </c>
    </row>
    <row r="9" spans="2:10">
      <c r="B9" s="4" t="s">
        <v>533</v>
      </c>
      <c r="C9" s="14">
        <v>5750716</v>
      </c>
      <c r="D9" s="14">
        <v>6589724</v>
      </c>
      <c r="F9" s="3" t="s">
        <v>4</v>
      </c>
      <c r="G9" s="14">
        <v>17513302</v>
      </c>
      <c r="I9" s="3" t="s">
        <v>17</v>
      </c>
      <c r="J9" s="14">
        <v>25101535</v>
      </c>
    </row>
    <row r="10" spans="2:10">
      <c r="B10" s="4" t="s">
        <v>534</v>
      </c>
      <c r="C10" s="14">
        <v>2971373</v>
      </c>
      <c r="D10" s="14">
        <v>3246948</v>
      </c>
      <c r="F10" s="3" t="s">
        <v>15</v>
      </c>
      <c r="G10" s="14">
        <v>15476289</v>
      </c>
      <c r="I10" s="3" t="s">
        <v>36</v>
      </c>
      <c r="J10" s="14">
        <v>21869912</v>
      </c>
    </row>
    <row r="11" spans="2:10">
      <c r="B11" s="4" t="s">
        <v>535</v>
      </c>
      <c r="C11" s="14">
        <v>5933676</v>
      </c>
      <c r="D11" s="14">
        <v>6747792</v>
      </c>
      <c r="F11" s="3" t="s">
        <v>26</v>
      </c>
      <c r="G11" s="14">
        <v>14456194</v>
      </c>
      <c r="I11" s="3" t="s">
        <v>7</v>
      </c>
      <c r="J11" s="14">
        <v>103564052</v>
      </c>
    </row>
    <row r="12" spans="2:10">
      <c r="B12" s="4" t="s">
        <v>536</v>
      </c>
      <c r="C12" s="14">
        <v>5945298</v>
      </c>
      <c r="D12" s="14">
        <v>6821796</v>
      </c>
      <c r="F12" s="3" t="s">
        <v>3</v>
      </c>
      <c r="G12" s="14">
        <v>14163970</v>
      </c>
    </row>
    <row r="13" spans="2:10">
      <c r="B13" s="4" t="s">
        <v>537</v>
      </c>
      <c r="C13" s="14">
        <v>4421377</v>
      </c>
      <c r="D13" s="14">
        <v>5208851</v>
      </c>
      <c r="F13" s="3" t="s">
        <v>7</v>
      </c>
      <c r="G13" s="14">
        <v>103564052</v>
      </c>
    </row>
    <row r="14" spans="2:10">
      <c r="B14" s="4" t="s">
        <v>538</v>
      </c>
      <c r="C14" s="14">
        <v>6238326</v>
      </c>
      <c r="D14" s="14">
        <v>6975183</v>
      </c>
    </row>
    <row r="15" spans="2:10">
      <c r="B15" s="4" t="s">
        <v>539</v>
      </c>
      <c r="C15" s="14">
        <v>5516215</v>
      </c>
      <c r="D15" s="14">
        <v>6519337</v>
      </c>
    </row>
    <row r="16" spans="2:10">
      <c r="B16" s="4" t="s">
        <v>540</v>
      </c>
      <c r="C16" s="14">
        <v>6287061</v>
      </c>
      <c r="D16" s="14">
        <v>7027581</v>
      </c>
    </row>
    <row r="17" spans="2:7">
      <c r="B17" s="4" t="s">
        <v>541</v>
      </c>
      <c r="C17" s="14">
        <v>5701193</v>
      </c>
      <c r="D17" s="14">
        <v>6620798</v>
      </c>
      <c r="F17" s="2" t="s">
        <v>6</v>
      </c>
      <c r="G17" t="s">
        <v>528</v>
      </c>
    </row>
    <row r="18" spans="2:7">
      <c r="B18" s="4" t="s">
        <v>542</v>
      </c>
      <c r="C18" s="14">
        <v>4805813</v>
      </c>
      <c r="D18" s="14">
        <v>5416585</v>
      </c>
      <c r="F18" s="3" t="s">
        <v>16</v>
      </c>
      <c r="G18" s="14">
        <v>24424591</v>
      </c>
    </row>
    <row r="19" spans="2:7">
      <c r="B19" s="4" t="s">
        <v>543</v>
      </c>
      <c r="C19" s="14">
        <v>6891165</v>
      </c>
      <c r="D19" s="14">
        <v>7698282</v>
      </c>
      <c r="F19" s="3" t="s">
        <v>27</v>
      </c>
      <c r="G19" s="14">
        <v>21908775</v>
      </c>
    </row>
    <row r="20" spans="2:7">
      <c r="B20" s="3" t="s">
        <v>531</v>
      </c>
      <c r="C20" s="14"/>
      <c r="D20" s="14"/>
      <c r="F20" s="3" t="s">
        <v>24</v>
      </c>
      <c r="G20" s="14">
        <v>19876132</v>
      </c>
    </row>
    <row r="21" spans="2:7">
      <c r="B21" s="4" t="s">
        <v>532</v>
      </c>
      <c r="C21" s="14">
        <v>6391041</v>
      </c>
      <c r="D21" s="14">
        <v>7190376</v>
      </c>
      <c r="F21" s="3" t="s">
        <v>22</v>
      </c>
      <c r="G21" s="14">
        <v>19072973</v>
      </c>
    </row>
    <row r="22" spans="2:7">
      <c r="B22" s="4" t="s">
        <v>533</v>
      </c>
      <c r="C22" s="14">
        <v>6198065</v>
      </c>
      <c r="D22" s="14">
        <v>6756671</v>
      </c>
      <c r="F22" s="3" t="s">
        <v>32</v>
      </c>
      <c r="G22" s="14">
        <v>18281581</v>
      </c>
    </row>
    <row r="23" spans="2:7">
      <c r="B23" s="4" t="s">
        <v>534</v>
      </c>
      <c r="C23" s="14">
        <v>4948958</v>
      </c>
      <c r="D23" s="14">
        <v>5719965</v>
      </c>
      <c r="F23" s="3" t="s">
        <v>7</v>
      </c>
      <c r="G23" s="14">
        <v>103564052</v>
      </c>
    </row>
    <row r="24" spans="2:7">
      <c r="B24" s="4" t="s">
        <v>535</v>
      </c>
      <c r="C24" s="14">
        <v>6851293</v>
      </c>
      <c r="D24" s="14">
        <v>7767640</v>
      </c>
    </row>
    <row r="25" spans="2:7">
      <c r="B25" s="4" t="s">
        <v>536</v>
      </c>
      <c r="C25" s="14">
        <v>2170720</v>
      </c>
      <c r="D25" s="14">
        <v>2407057</v>
      </c>
    </row>
    <row r="26" spans="2:7">
      <c r="B26" s="3" t="s">
        <v>7</v>
      </c>
      <c r="C26" s="14">
        <v>91419227</v>
      </c>
      <c r="D26" s="14">
        <v>103564052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 DATA </vt:lpstr>
      <vt:lpstr>DASHBOARD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padia</dc:creator>
  <cp:lastModifiedBy>kishan padia</cp:lastModifiedBy>
  <dcterms:created xsi:type="dcterms:W3CDTF">2026-02-22T19:34:14Z</dcterms:created>
  <dcterms:modified xsi:type="dcterms:W3CDTF">2026-02-24T06:10:26Z</dcterms:modified>
</cp:coreProperties>
</file>